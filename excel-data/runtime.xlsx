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Refactoring\NSGA3\"/>
    </mc:Choice>
  </mc:AlternateContent>
  <xr:revisionPtr revIDLastSave="0" documentId="13_ncr:1_{F4B93AF7-BEB2-40D7-B8CF-2A35300EE7F6}" xr6:coauthVersionLast="47" xr6:coauthVersionMax="47" xr10:uidLastSave="{00000000-0000-0000-0000-000000000000}"/>
  <bookViews>
    <workbookView xWindow="-103" yWindow="257" windowWidth="33120" windowHeight="18360" xr2:uid="{4F46D198-EAEE-409B-9B62-D134BF861952}"/>
  </bookViews>
  <sheets>
    <sheet name="Final" sheetId="4" r:id="rId1"/>
    <sheet name="nsga3" sheetId="1" r:id="rId2"/>
    <sheet name="nsga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<sst xmlns="http://schemas.openxmlformats.org/spreadsheetml/2006/main" count="230" uniqueCount="125">
  <si>
    <t>[ant-1_5]</t>
  </si>
  <si>
    <t>[ant-1_6]</t>
  </si>
  <si>
    <t>[ant-1_7]</t>
  </si>
  <si>
    <t>[jEdit-4_0]</t>
  </si>
  <si>
    <t>[jEdit-4_1]</t>
  </si>
  <si>
    <t>[jEdit-4_2]</t>
  </si>
  <si>
    <t>[camel-1_4]</t>
  </si>
  <si>
    <t>[camel-1_6]</t>
  </si>
  <si>
    <t>[lucene-2_0]</t>
  </si>
  <si>
    <t>[lucene-2_2]</t>
  </si>
  <si>
    <t>[lucene-2_4]</t>
  </si>
  <si>
    <t>[synapse-1_0]</t>
  </si>
  <si>
    <t>[synapse-1_1]</t>
  </si>
  <si>
    <t>[synapse-1_2]</t>
  </si>
  <si>
    <t xml:space="preserve"> 754176 ms</t>
  </si>
  <si>
    <t xml:space="preserve"> 1017780 ms</t>
  </si>
  <si>
    <t xml:space="preserve"> 1642235 ms</t>
  </si>
  <si>
    <t xml:space="preserve"> 299486 ms</t>
  </si>
  <si>
    <t xml:space="preserve"> 691464 ms</t>
  </si>
  <si>
    <t xml:space="preserve"> 1129373 ms</t>
  </si>
  <si>
    <t xml:space="preserve"> 810585 ms</t>
  </si>
  <si>
    <t xml:space="preserve"> 1042705 ms</t>
  </si>
  <si>
    <t xml:space="preserve"> 100509 ms</t>
  </si>
  <si>
    <t xml:space="preserve"> 180145 ms</t>
  </si>
  <si>
    <t xml:space="preserve"> 373264 ms</t>
  </si>
  <si>
    <t xml:space="preserve"> 46469 ms</t>
  </si>
  <si>
    <t xml:space="preserve"> 98156 ms</t>
  </si>
  <si>
    <t xml:space="preserve"> 222665 ms</t>
  </si>
  <si>
    <t xml:space="preserve"> 725600 ms</t>
  </si>
  <si>
    <t xml:space="preserve"> 993352 ms</t>
  </si>
  <si>
    <t xml:space="preserve"> 1565630 ms</t>
  </si>
  <si>
    <t xml:space="preserve"> 238036 ms</t>
  </si>
  <si>
    <t xml:space="preserve"> 631940 ms</t>
  </si>
  <si>
    <t xml:space="preserve"> 1015286 ms</t>
  </si>
  <si>
    <t xml:space="preserve"> 779305 ms</t>
  </si>
  <si>
    <t xml:space="preserve"> 970159 ms</t>
  </si>
  <si>
    <t xml:space="preserve"> 90902 ms</t>
  </si>
  <si>
    <t xml:space="preserve"> 181224 ms</t>
  </si>
  <si>
    <t xml:space="preserve"> 350743 ms</t>
  </si>
  <si>
    <t xml:space="preserve"> 46896 ms</t>
  </si>
  <si>
    <t xml:space="preserve"> 96708 ms</t>
  </si>
  <si>
    <t xml:space="preserve"> 209012 ms</t>
  </si>
  <si>
    <t>second</t>
  </si>
  <si>
    <t>min</t>
  </si>
  <si>
    <t>avg (ms)</t>
  </si>
  <si>
    <t xml:space="preserve"> 10866 ms</t>
  </si>
  <si>
    <t xml:space="preserve"> 17900 ms</t>
  </si>
  <si>
    <t xml:space="preserve"> 19483 ms</t>
  </si>
  <si>
    <t xml:space="preserve"> 6196 ms</t>
  </si>
  <si>
    <t xml:space="preserve"> 11948 ms</t>
  </si>
  <si>
    <t xml:space="preserve"> 16940 ms</t>
  </si>
  <si>
    <t xml:space="preserve"> 12504 ms</t>
  </si>
  <si>
    <t xml:space="preserve"> 17392 ms</t>
  </si>
  <si>
    <t xml:space="preserve"> 2369 ms</t>
  </si>
  <si>
    <t xml:space="preserve"> 3334 ms</t>
  </si>
  <si>
    <t xml:space="preserve"> 5439 ms</t>
  </si>
  <si>
    <t xml:space="preserve"> 1471 ms</t>
  </si>
  <si>
    <t xml:space="preserve"> 2573 ms</t>
  </si>
  <si>
    <t xml:space="preserve"> 4415 ms</t>
  </si>
  <si>
    <t xml:space="preserve"> 441551 ms</t>
  </si>
  <si>
    <t xml:space="preserve"> 601875 ms</t>
  </si>
  <si>
    <t xml:space="preserve"> 797217 ms</t>
  </si>
  <si>
    <t xml:space="preserve"> 168977 ms</t>
  </si>
  <si>
    <t xml:space="preserve"> 338883 ms</t>
  </si>
  <si>
    <t xml:space="preserve"> 482937 ms</t>
  </si>
  <si>
    <t xml:space="preserve"> 355688 ms</t>
  </si>
  <si>
    <t xml:space="preserve"> 532682 ms</t>
  </si>
  <si>
    <t xml:space="preserve"> 58763 ms</t>
  </si>
  <si>
    <t xml:space="preserve"> 95701 ms</t>
  </si>
  <si>
    <t xml:space="preserve"> 180119 ms</t>
  </si>
  <si>
    <t xml:space="preserve"> 32285 ms</t>
  </si>
  <si>
    <t xml:space="preserve"> 58876 ms</t>
  </si>
  <si>
    <t xml:space="preserve"> 128840 ms</t>
  </si>
  <si>
    <t>Project</t>
  </si>
  <si>
    <t>Valid runs (ms)</t>
  </si>
  <si>
    <t>Accurate average (ms)</t>
  </si>
  <si>
    <t>ant-1_5</t>
  </si>
  <si>
    <t>20250, 9792, 8626, 18825</t>
  </si>
  <si>
    <t>ant-1_6</t>
  </si>
  <si>
    <t>14366, 19250, 14446, 12788</t>
  </si>
  <si>
    <t>ant-1_7</t>
  </si>
  <si>
    <t>20159, 24108, 19434, 21915</t>
  </si>
  <si>
    <t>jEdit-4_0</t>
  </si>
  <si>
    <t>7124, 7175, 6092, 6947</t>
  </si>
  <si>
    <t>jEdit-4_1</t>
  </si>
  <si>
    <t>13232, 11975, 11175, 11996</t>
  </si>
  <si>
    <t>jEdit-4_2</t>
  </si>
  <si>
    <t>16408, 14831, 16663, 16267</t>
  </si>
  <si>
    <t>camel-1_4</t>
  </si>
  <si>
    <t>12674, 11661, 11976, 11006</t>
  </si>
  <si>
    <t>camel-1_6</t>
  </si>
  <si>
    <t>16049, 18075, 17186, 14505</t>
  </si>
  <si>
    <t>lucene-2_0</t>
  </si>
  <si>
    <t>2238, 2351, 2235, 2175</t>
  </si>
  <si>
    <t>lucene-2_2</t>
  </si>
  <si>
    <t>2818, 3129, 2929, 2870</t>
  </si>
  <si>
    <t>lucene-2_4</t>
  </si>
  <si>
    <t>5282, 5633, 5424, 5231</t>
  </si>
  <si>
    <t>synapse-1_0</t>
  </si>
  <si>
    <t>1624, 1727, 1639, 1501</t>
  </si>
  <si>
    <t>synapse-1_1</t>
  </si>
  <si>
    <t>2640, 2827, 2655, 2612</t>
  </si>
  <si>
    <t>synapse-1_2</t>
  </si>
  <si>
    <t>4362, 4850, 4373, 4464</t>
  </si>
  <si>
    <t>test</t>
  </si>
  <si>
    <t>343, 374, 341, 340</t>
  </si>
  <si>
    <t>745312, 692434, 778393, 754176</t>
  </si>
  <si>
    <t>1002854, 1048462, 1144959, 1017780</t>
  </si>
  <si>
    <t>1585798, 1611352, 1709726, 1642235</t>
  </si>
  <si>
    <t>286551, 237313, 249988, 299486</t>
  </si>
  <si>
    <t>622554, 611027, 691581, 691464</t>
  </si>
  <si>
    <t>1005564, 962072, 1078384, 1129373</t>
  </si>
  <si>
    <t>705647, 722444, 758163, 810585</t>
  </si>
  <si>
    <t>996984, 991769, 1061723, 1042705</t>
  </si>
  <si>
    <t>88863, 96665, 101210, 100509</t>
  </si>
  <si>
    <t>171587, 174186, 191346, 180145</t>
  </si>
  <si>
    <t>351217, 359934, 386947, 373264</t>
  </si>
  <si>
    <t>47795, 48825, 44836, 46469</t>
  </si>
  <si>
    <t>99637, 114470, 113036, 98156</t>
  </si>
  <si>
    <t>230652, 223065, 237226, 222665</t>
  </si>
  <si>
    <t>15511, 15843, 16130, 15866</t>
  </si>
  <si>
    <t>NSGA-III</t>
  </si>
  <si>
    <t>NSGA-II</t>
  </si>
  <si>
    <t>System</t>
  </si>
  <si>
    <t>Runtime(s)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</si>
</sst>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Final!$B$1:$B$2</c:f>
              <c:strCache>
                <c:ptCount val="2"/>
                <c:pt idx="0">
                  <c:v>Runtime(s)</c:v>
                </c:pt>
                <c:pt idx="1">
                  <c:v>NSGA-II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Final!$A$3:$A$16</c:f>
              <c:strCache>
                <c:ptCount val="14"/>
                <c:pt idx="0">
                  <c:v>ant-1_5</c:v>
                </c:pt>
                <c:pt idx="1">
                  <c:v>ant-1_6</c:v>
                </c:pt>
                <c:pt idx="2">
                  <c:v>ant-1_7</c:v>
                </c:pt>
                <c:pt idx="3">
                  <c:v>jEdit-4_0</c:v>
                </c:pt>
                <c:pt idx="4">
                  <c:v>jEdit-4_1</c:v>
                </c:pt>
                <c:pt idx="5">
                  <c:v>jEdit-4_2</c:v>
                </c:pt>
                <c:pt idx="6">
                  <c:v>camel-1_4</c:v>
                </c:pt>
                <c:pt idx="7">
                  <c:v>camel-1_6</c:v>
                </c:pt>
                <c:pt idx="8">
                  <c:v>lucene-2_0</c:v>
                </c:pt>
                <c:pt idx="9">
                  <c:v>lucene-2_2</c:v>
                </c:pt>
                <c:pt idx="10">
                  <c:v>lucene-2_4</c:v>
                </c:pt>
                <c:pt idx="11">
                  <c:v>synapse-1_0</c:v>
                </c:pt>
                <c:pt idx="12">
                  <c:v>synapse-1_1</c:v>
                </c:pt>
                <c:pt idx="13">
                  <c:v>synapse-1_2</c:v>
                </c:pt>
              </c:strCache>
            </c:strRef>
          </c:cat>
          <c:val>
            <c:numRef>
              <c:f>Final!$B$3:$B$16</c:f>
              <c:numCache>
                <c:formatCode>0.00</c:formatCode>
                <c:ptCount val="14"/>
                <c:pt idx="0">
                  <c:v>14.372999999999999</c:v>
                </c:pt>
                <c:pt idx="1">
                  <c:v>15.212</c:v>
                </c:pt>
                <c:pt idx="2">
                  <c:v>21.404</c:v>
                </c:pt>
                <c:pt idx="3">
                  <c:v>6.8339999999999996</c:v>
                </c:pt>
                <c:pt idx="4">
                  <c:v>12.093999999999999</c:v>
                </c:pt>
                <c:pt idx="5">
                  <c:v>16.042000000000002</c:v>
                </c:pt>
                <c:pt idx="6">
                  <c:v>11.829000000000001</c:v>
                </c:pt>
                <c:pt idx="7">
                  <c:v>16.454000000000001</c:v>
                </c:pt>
                <c:pt idx="8">
                  <c:v>2.25</c:v>
                </c:pt>
                <c:pt idx="9">
                  <c:v>2.9369999999999998</c:v>
                </c:pt>
                <c:pt idx="10">
                  <c:v>5.3920000000000003</c:v>
                </c:pt>
                <c:pt idx="11">
                  <c:v>1.623</c:v>
                </c:pt>
                <c:pt idx="12">
                  <c:v>2.6829999999999998</c:v>
                </c:pt>
                <c:pt idx="13">
                  <c:v>4.5119999999999996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6-4DD4-BB1E-976096F1ECA0}"/>
            </c:ext>
          </c:extLst>
        </c:ser>
        <c:ser>
          <c:idx val="1"/>
          <c:order val="1"/>
          <c:tx>
            <c:strRef>
              <c:f>Final!$C$1:$C$2</c:f>
              <c:strCache>
                <c:ptCount val="2"/>
                <c:pt idx="0">
                  <c:v>Runtime(s)</c:v>
                </c:pt>
                <c:pt idx="1">
                  <c:v>NSGA-III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Final!$A$3:$A$16</c:f>
              <c:strCache>
                <c:ptCount val="14"/>
                <c:pt idx="0">
                  <c:v>ant-1_5</c:v>
                </c:pt>
                <c:pt idx="1">
                  <c:v>ant-1_6</c:v>
                </c:pt>
                <c:pt idx="2">
                  <c:v>ant-1_7</c:v>
                </c:pt>
                <c:pt idx="3">
                  <c:v>jEdit-4_0</c:v>
                </c:pt>
                <c:pt idx="4">
                  <c:v>jEdit-4_1</c:v>
                </c:pt>
                <c:pt idx="5">
                  <c:v>jEdit-4_2</c:v>
                </c:pt>
                <c:pt idx="6">
                  <c:v>camel-1_4</c:v>
                </c:pt>
                <c:pt idx="7">
                  <c:v>camel-1_6</c:v>
                </c:pt>
                <c:pt idx="8">
                  <c:v>lucene-2_0</c:v>
                </c:pt>
                <c:pt idx="9">
                  <c:v>lucene-2_2</c:v>
                </c:pt>
                <c:pt idx="10">
                  <c:v>lucene-2_4</c:v>
                </c:pt>
                <c:pt idx="11">
                  <c:v>synapse-1_0</c:v>
                </c:pt>
                <c:pt idx="12">
                  <c:v>synapse-1_1</c:v>
                </c:pt>
                <c:pt idx="13">
                  <c:v>synapse-1_2</c:v>
                </c:pt>
              </c:strCache>
            </c:strRef>
          </c:cat>
          <c:val>
            <c:numRef>
              <c:f>Final!$C$3:$C$16</c:f>
              <c:numCache>
                <c:formatCode>0.00</c:formatCode>
                <c:ptCount val="14"/>
                <c:pt idx="0">
                  <c:v>742.57899999999995</c:v>
                </c:pt>
                <c:pt idx="1">
                  <c:v>1033.5139999999999</c:v>
                </c:pt>
                <c:pt idx="2">
                  <c:v>1637.278</c:v>
                </c:pt>
                <c:pt idx="3">
                  <c:v>268.33499999999998</c:v>
                </c:pt>
                <c:pt idx="4">
                  <c:v>654.15700000000004</c:v>
                </c:pt>
                <c:pt idx="5">
                  <c:v>1068.848</c:v>
                </c:pt>
                <c:pt idx="6">
                  <c:v>749.21</c:v>
                </c:pt>
                <c:pt idx="7">
                  <c:v>1023.295</c:v>
                </c:pt>
                <c:pt idx="8">
                  <c:v>96.811999999999998</c:v>
                </c:pt>
                <c:pt idx="9">
                  <c:v>179.316</c:v>
                </c:pt>
                <c:pt idx="10">
                  <c:v>367.84100000000001</c:v>
                </c:pt>
                <c:pt idx="11">
                  <c:v>46.981000000000002</c:v>
                </c:pt>
                <c:pt idx="12">
                  <c:v>106.325</c:v>
                </c:pt>
                <c:pt idx="13">
                  <c:v>228.40199999999999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6-4DD4-BB1E-976096F1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288799"/>
        <c:axId val="550288319"/>
      </c:barChart>
      <c:catAx>
        <c:axId val="5502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88319"/>
        <c:crosses val="autoZero"/>
        <c:auto val="1"/>
        <c:lblAlgn val="ctr"/>
        <c:lblOffset val="100"/>
        <c:noMultiLvlLbl val="0"/>
      </c:catAx>
      <c:valAx>
        <c:axId val="5502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8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176176</xdr:colOff>
      <xdr:row>4</xdr:row>
      <xdr:rowOff>128909</xdr:rowOff>
    </xdr:from>
    <xdr:to>
      <xdr:col>12</xdr:col>
      <xdr:colOff>176176</xdr:colOff>
      <xdr:row>18</xdr:row>
      <xdr:rowOff>93960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BA7FE5-BBEB-B94D-467C-1C5D1A94D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A9A9-C00B-4907-B673-C8EABDF23646}">
  <dimension ref="A1:C16"/>
  <sheetViews>
    <sheetView tabSelected="1" zoomScale="190" zoomScaleNormal="190" workbookViewId="0">
      <selection activeCell="N11" sqref="N11"/>
    </sheetView>
  </sheetViews>
  <sheetFormatPr defaultRowHeight="14.6" x14ac:dyDescent="0.4"/>
  <cols>
    <col min="1" max="1" width="12.765625" style="6" bestFit="1" customWidth="1"/>
    <col min="2" max="2" width="7" bestFit="1" customWidth="1"/>
  </cols>
  <sheetData>
    <row r="1" spans="1:3" x14ac:dyDescent="0.4">
      <c r="A1" s="9" t="s">
        <v>123</v>
      </c>
      <c r="B1" s="8" t="s">
        <v>124</v>
      </c>
      <c r="C1" s="8"/>
    </row>
    <row r="2" spans="1:3" x14ac:dyDescent="0.4">
      <c r="A2" s="9"/>
      <c r="B2" s="5" t="s">
        <v>122</v>
      </c>
      <c r="C2" s="5" t="s">
        <v>121</v>
      </c>
    </row>
    <row r="3" spans="1:3" x14ac:dyDescent="0.4">
      <c r="A3" s="6" t="s">
        <v>76</v>
      </c>
      <c r="B3" s="7">
        <v>14.372999999999999</v>
      </c>
      <c r="C3" s="7">
        <v>742.57899999999995</v>
      </c>
    </row>
    <row r="4" spans="1:3" x14ac:dyDescent="0.4">
      <c r="A4" s="6" t="s">
        <v>78</v>
      </c>
      <c r="B4" s="7">
        <v>15.212</v>
      </c>
      <c r="C4" s="7">
        <v>1033.5139999999999</v>
      </c>
    </row>
    <row r="5" spans="1:3" x14ac:dyDescent="0.4">
      <c r="A5" s="6" t="s">
        <v>80</v>
      </c>
      <c r="B5" s="7">
        <v>21.404</v>
      </c>
      <c r="C5" s="7">
        <v>1637.278</v>
      </c>
    </row>
    <row r="6" spans="1:3" x14ac:dyDescent="0.4">
      <c r="A6" s="6" t="s">
        <v>82</v>
      </c>
      <c r="B6" s="7">
        <v>6.8339999999999996</v>
      </c>
      <c r="C6" s="7">
        <v>268.33499999999998</v>
      </c>
    </row>
    <row r="7" spans="1:3" x14ac:dyDescent="0.4">
      <c r="A7" s="6" t="s">
        <v>84</v>
      </c>
      <c r="B7" s="7">
        <v>12.093999999999999</v>
      </c>
      <c r="C7" s="7">
        <v>654.15700000000004</v>
      </c>
    </row>
    <row r="8" spans="1:3" x14ac:dyDescent="0.4">
      <c r="A8" s="6" t="s">
        <v>86</v>
      </c>
      <c r="B8" s="7">
        <v>16.042000000000002</v>
      </c>
      <c r="C8" s="7">
        <v>1068.848</v>
      </c>
    </row>
    <row r="9" spans="1:3" x14ac:dyDescent="0.4">
      <c r="A9" s="6" t="s">
        <v>88</v>
      </c>
      <c r="B9" s="7">
        <v>11.829000000000001</v>
      </c>
      <c r="C9" s="7">
        <v>749.21</v>
      </c>
    </row>
    <row r="10" spans="1:3" x14ac:dyDescent="0.4">
      <c r="A10" s="6" t="s">
        <v>90</v>
      </c>
      <c r="B10" s="7">
        <v>16.454000000000001</v>
      </c>
      <c r="C10" s="7">
        <v>1023.295</v>
      </c>
    </row>
    <row r="11" spans="1:3" x14ac:dyDescent="0.4">
      <c r="A11" s="6" t="s">
        <v>92</v>
      </c>
      <c r="B11" s="7">
        <v>2.25</v>
      </c>
      <c r="C11" s="7">
        <v>96.811999999999998</v>
      </c>
    </row>
    <row r="12" spans="1:3" x14ac:dyDescent="0.4">
      <c r="A12" s="6" t="s">
        <v>94</v>
      </c>
      <c r="B12" s="7">
        <v>2.9369999999999998</v>
      </c>
      <c r="C12" s="7">
        <v>179.316</v>
      </c>
    </row>
    <row r="13" spans="1:3" x14ac:dyDescent="0.4">
      <c r="A13" s="6" t="s">
        <v>96</v>
      </c>
      <c r="B13" s="7">
        <v>5.3920000000000003</v>
      </c>
      <c r="C13" s="7">
        <v>367.84100000000001</v>
      </c>
    </row>
    <row r="14" spans="1:3" x14ac:dyDescent="0.4">
      <c r="A14" s="6" t="s">
        <v>98</v>
      </c>
      <c r="B14" s="7">
        <v>1.623</v>
      </c>
      <c r="C14" s="7">
        <v>46.981000000000002</v>
      </c>
    </row>
    <row r="15" spans="1:3" x14ac:dyDescent="0.4">
      <c r="A15" s="6" t="s">
        <v>100</v>
      </c>
      <c r="B15" s="7">
        <v>2.6829999999999998</v>
      </c>
      <c r="C15" s="7">
        <v>106.325</v>
      </c>
    </row>
    <row r="16" spans="1:3" x14ac:dyDescent="0.4">
      <c r="A16" s="6" t="s">
        <v>102</v>
      </c>
      <c r="B16" s="7">
        <v>4.5119999999999996</v>
      </c>
      <c r="C16" s="7">
        <v>228.40199999999999</v>
      </c>
    </row>
  </sheetData>
  <mergeCells count="2">
    <mergeCell ref="B1:C1"/>
    <mergeCell ref="A1:A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3519-B971-4490-A8A8-3D966EC83433}">
  <dimension ref="A1:G45"/>
  <sheetViews>
    <sheetView workbookViewId="0">
      <selection activeCell="E22" sqref="E22"/>
    </sheetView>
  </sheetViews>
  <sheetFormatPr defaultRowHeight="14.6" x14ac:dyDescent="0.4"/>
  <cols>
    <col min="1" max="1" width="22.07421875" bestFit="1" customWidth="1"/>
    <col min="2" max="4" width="11.07421875" bestFit="1" customWidth="1"/>
    <col min="5" max="5" width="12" bestFit="1" customWidth="1"/>
  </cols>
  <sheetData>
    <row r="1" spans="1:7" x14ac:dyDescent="0.4">
      <c r="E1" t="s">
        <v>44</v>
      </c>
      <c r="F1" t="s">
        <v>42</v>
      </c>
      <c r="G1" t="s">
        <v>43</v>
      </c>
    </row>
    <row r="2" spans="1:7" x14ac:dyDescent="0.4">
      <c r="A2" t="s">
        <v>0</v>
      </c>
      <c r="B2">
        <v>778393</v>
      </c>
      <c r="C2">
        <v>754176</v>
      </c>
      <c r="D2">
        <v>725600</v>
      </c>
      <c r="E2">
        <f>AVERAGE(B2:D2)</f>
        <v>752723</v>
      </c>
      <c r="F2">
        <f>E2/1000</f>
        <v>752.72299999999996</v>
      </c>
      <c r="G2">
        <f>F2/60</f>
        <v>12.545383333333332</v>
      </c>
    </row>
    <row r="3" spans="1:7" x14ac:dyDescent="0.4">
      <c r="A3" t="s">
        <v>1</v>
      </c>
      <c r="B3">
        <v>1144959</v>
      </c>
      <c r="C3">
        <v>1017780</v>
      </c>
      <c r="D3">
        <v>993352</v>
      </c>
      <c r="E3">
        <f t="shared" ref="E3:E15" si="0">AVERAGE(B3:D3)</f>
        <v>1052030.3333333333</v>
      </c>
      <c r="F3">
        <f t="shared" ref="F3:F15" si="1">E3/1000</f>
        <v>1052.0303333333331</v>
      </c>
      <c r="G3">
        <f t="shared" ref="G3:G15" si="2">F3/60</f>
        <v>17.533838888888887</v>
      </c>
    </row>
    <row r="4" spans="1:7" x14ac:dyDescent="0.4">
      <c r="A4" t="s">
        <v>2</v>
      </c>
      <c r="B4">
        <v>1709726</v>
      </c>
      <c r="C4">
        <v>1642235</v>
      </c>
      <c r="D4">
        <v>1565630</v>
      </c>
      <c r="E4">
        <f t="shared" si="0"/>
        <v>1639197</v>
      </c>
      <c r="F4">
        <f t="shared" si="1"/>
        <v>1639.1969999999999</v>
      </c>
      <c r="G4">
        <f t="shared" si="2"/>
        <v>27.319949999999999</v>
      </c>
    </row>
    <row r="5" spans="1:7" x14ac:dyDescent="0.4">
      <c r="A5" t="s">
        <v>3</v>
      </c>
      <c r="B5">
        <v>249988</v>
      </c>
      <c r="C5">
        <v>299486</v>
      </c>
      <c r="D5">
        <v>238036</v>
      </c>
      <c r="E5">
        <f t="shared" si="0"/>
        <v>262503.33333333331</v>
      </c>
      <c r="F5">
        <f t="shared" si="1"/>
        <v>262.50333333333333</v>
      </c>
      <c r="G5">
        <f t="shared" si="2"/>
        <v>4.3750555555555559</v>
      </c>
    </row>
    <row r="6" spans="1:7" x14ac:dyDescent="0.4">
      <c r="A6" t="s">
        <v>4</v>
      </c>
      <c r="B6">
        <v>691581</v>
      </c>
      <c r="C6">
        <v>691464</v>
      </c>
      <c r="D6">
        <v>631940</v>
      </c>
      <c r="E6">
        <f t="shared" si="0"/>
        <v>671661.66666666663</v>
      </c>
      <c r="F6">
        <f t="shared" si="1"/>
        <v>671.66166666666663</v>
      </c>
      <c r="G6">
        <f t="shared" si="2"/>
        <v>11.19436111111111</v>
      </c>
    </row>
    <row r="7" spans="1:7" x14ac:dyDescent="0.4">
      <c r="A7" t="s">
        <v>5</v>
      </c>
      <c r="B7">
        <v>1078384</v>
      </c>
      <c r="C7">
        <v>1129373</v>
      </c>
      <c r="D7">
        <v>1015286</v>
      </c>
      <c r="E7">
        <f t="shared" si="0"/>
        <v>1074347.6666666667</v>
      </c>
      <c r="F7">
        <f t="shared" si="1"/>
        <v>1074.3476666666668</v>
      </c>
      <c r="G7">
        <f t="shared" si="2"/>
        <v>17.905794444444446</v>
      </c>
    </row>
    <row r="8" spans="1:7" x14ac:dyDescent="0.4">
      <c r="A8" t="s">
        <v>6</v>
      </c>
      <c r="B8">
        <v>758163</v>
      </c>
      <c r="C8">
        <v>810585</v>
      </c>
      <c r="D8">
        <v>779305</v>
      </c>
      <c r="E8">
        <f t="shared" si="0"/>
        <v>782684.33333333337</v>
      </c>
      <c r="F8">
        <f t="shared" si="1"/>
        <v>782.68433333333337</v>
      </c>
      <c r="G8">
        <f t="shared" si="2"/>
        <v>13.04473888888889</v>
      </c>
    </row>
    <row r="9" spans="1:7" x14ac:dyDescent="0.4">
      <c r="A9" t="s">
        <v>7</v>
      </c>
      <c r="B9">
        <v>1061723</v>
      </c>
      <c r="C9">
        <v>1042705</v>
      </c>
      <c r="D9">
        <v>970159</v>
      </c>
      <c r="E9">
        <f t="shared" si="0"/>
        <v>1024862.3333333334</v>
      </c>
      <c r="F9">
        <f t="shared" si="1"/>
        <v>1024.8623333333335</v>
      </c>
      <c r="G9">
        <f t="shared" si="2"/>
        <v>17.081038888888891</v>
      </c>
    </row>
    <row r="10" spans="1:7" x14ac:dyDescent="0.4">
      <c r="A10" t="s">
        <v>8</v>
      </c>
      <c r="B10">
        <v>101210</v>
      </c>
      <c r="C10">
        <v>100509</v>
      </c>
      <c r="D10">
        <v>90902</v>
      </c>
      <c r="E10">
        <f t="shared" si="0"/>
        <v>97540.333333333328</v>
      </c>
      <c r="F10">
        <f t="shared" si="1"/>
        <v>97.540333333333322</v>
      </c>
      <c r="G10">
        <f t="shared" si="2"/>
        <v>1.625672222222222</v>
      </c>
    </row>
    <row r="11" spans="1:7" x14ac:dyDescent="0.4">
      <c r="A11" t="s">
        <v>9</v>
      </c>
      <c r="B11">
        <v>191346</v>
      </c>
      <c r="C11">
        <v>180145</v>
      </c>
      <c r="D11">
        <v>181224</v>
      </c>
      <c r="E11">
        <f t="shared" si="0"/>
        <v>184238.33333333334</v>
      </c>
      <c r="F11">
        <f t="shared" si="1"/>
        <v>184.23833333333334</v>
      </c>
      <c r="G11">
        <f t="shared" si="2"/>
        <v>3.0706388888888889</v>
      </c>
    </row>
    <row r="12" spans="1:7" x14ac:dyDescent="0.4">
      <c r="A12" t="s">
        <v>10</v>
      </c>
      <c r="B12">
        <v>386947</v>
      </c>
      <c r="C12">
        <v>373264</v>
      </c>
      <c r="D12">
        <v>350743</v>
      </c>
      <c r="E12">
        <f t="shared" si="0"/>
        <v>370318</v>
      </c>
      <c r="F12">
        <f t="shared" si="1"/>
        <v>370.31799999999998</v>
      </c>
      <c r="G12">
        <f t="shared" si="2"/>
        <v>6.1719666666666662</v>
      </c>
    </row>
    <row r="13" spans="1:7" x14ac:dyDescent="0.4">
      <c r="A13" t="s">
        <v>11</v>
      </c>
      <c r="B13">
        <v>44836</v>
      </c>
      <c r="C13">
        <v>46469</v>
      </c>
      <c r="D13">
        <v>46896</v>
      </c>
      <c r="E13">
        <f t="shared" si="0"/>
        <v>46067</v>
      </c>
      <c r="F13">
        <f t="shared" si="1"/>
        <v>46.067</v>
      </c>
      <c r="G13">
        <f t="shared" si="2"/>
        <v>0.76778333333333337</v>
      </c>
    </row>
    <row r="14" spans="1:7" x14ac:dyDescent="0.4">
      <c r="A14" t="s">
        <v>12</v>
      </c>
      <c r="B14">
        <v>113036</v>
      </c>
      <c r="C14">
        <v>98156</v>
      </c>
      <c r="D14">
        <v>96708</v>
      </c>
      <c r="E14">
        <f t="shared" si="0"/>
        <v>102633.33333333333</v>
      </c>
      <c r="F14">
        <f t="shared" si="1"/>
        <v>102.63333333333333</v>
      </c>
      <c r="G14">
        <f t="shared" si="2"/>
        <v>1.7105555555555554</v>
      </c>
    </row>
    <row r="15" spans="1:7" x14ac:dyDescent="0.4">
      <c r="A15" t="s">
        <v>13</v>
      </c>
      <c r="B15">
        <v>237226</v>
      </c>
      <c r="C15">
        <v>222665</v>
      </c>
      <c r="D15">
        <v>209012</v>
      </c>
      <c r="E15">
        <f t="shared" si="0"/>
        <v>222967.66666666666</v>
      </c>
      <c r="F15">
        <f t="shared" si="1"/>
        <v>222.96766666666664</v>
      </c>
      <c r="G15">
        <f t="shared" si="2"/>
        <v>3.7161277777777775</v>
      </c>
    </row>
    <row r="17" spans="1:2" x14ac:dyDescent="0.4">
      <c r="A17" t="s">
        <v>0</v>
      </c>
      <c r="B17" t="s">
        <v>14</v>
      </c>
    </row>
    <row r="18" spans="1:2" x14ac:dyDescent="0.4">
      <c r="A18" t="s">
        <v>1</v>
      </c>
      <c r="B18" t="s">
        <v>15</v>
      </c>
    </row>
    <row r="19" spans="1:2" x14ac:dyDescent="0.4">
      <c r="A19" t="s">
        <v>2</v>
      </c>
      <c r="B19" t="s">
        <v>16</v>
      </c>
    </row>
    <row r="20" spans="1:2" x14ac:dyDescent="0.4">
      <c r="A20" t="s">
        <v>3</v>
      </c>
      <c r="B20" t="s">
        <v>17</v>
      </c>
    </row>
    <row r="21" spans="1:2" x14ac:dyDescent="0.4">
      <c r="A21" t="s">
        <v>4</v>
      </c>
      <c r="B21" t="s">
        <v>18</v>
      </c>
    </row>
    <row r="22" spans="1:2" x14ac:dyDescent="0.4">
      <c r="A22" t="s">
        <v>5</v>
      </c>
      <c r="B22" t="s">
        <v>19</v>
      </c>
    </row>
    <row r="23" spans="1:2" x14ac:dyDescent="0.4">
      <c r="A23" t="s">
        <v>6</v>
      </c>
      <c r="B23" t="s">
        <v>20</v>
      </c>
    </row>
    <row r="24" spans="1:2" x14ac:dyDescent="0.4">
      <c r="A24" t="s">
        <v>7</v>
      </c>
      <c r="B24" t="s">
        <v>21</v>
      </c>
    </row>
    <row r="25" spans="1:2" x14ac:dyDescent="0.4">
      <c r="A25" t="s">
        <v>8</v>
      </c>
      <c r="B25" t="s">
        <v>22</v>
      </c>
    </row>
    <row r="26" spans="1:2" x14ac:dyDescent="0.4">
      <c r="A26" t="s">
        <v>9</v>
      </c>
      <c r="B26" t="s">
        <v>23</v>
      </c>
    </row>
    <row r="27" spans="1:2" x14ac:dyDescent="0.4">
      <c r="A27" t="s">
        <v>10</v>
      </c>
      <c r="B27" t="s">
        <v>24</v>
      </c>
    </row>
    <row r="28" spans="1:2" x14ac:dyDescent="0.4">
      <c r="A28" t="s">
        <v>11</v>
      </c>
      <c r="B28" t="s">
        <v>25</v>
      </c>
    </row>
    <row r="29" spans="1:2" x14ac:dyDescent="0.4">
      <c r="A29" t="s">
        <v>12</v>
      </c>
      <c r="B29" t="s">
        <v>26</v>
      </c>
    </row>
    <row r="30" spans="1:2" x14ac:dyDescent="0.4">
      <c r="A30" t="s">
        <v>13</v>
      </c>
      <c r="B30" t="s">
        <v>27</v>
      </c>
    </row>
    <row r="32" spans="1:2" x14ac:dyDescent="0.4">
      <c r="A32" t="s">
        <v>0</v>
      </c>
      <c r="B32" t="s">
        <v>28</v>
      </c>
    </row>
    <row r="33" spans="1:2" x14ac:dyDescent="0.4">
      <c r="A33" t="s">
        <v>1</v>
      </c>
      <c r="B33" t="s">
        <v>29</v>
      </c>
    </row>
    <row r="34" spans="1:2" x14ac:dyDescent="0.4">
      <c r="A34" t="s">
        <v>2</v>
      </c>
      <c r="B34" t="s">
        <v>30</v>
      </c>
    </row>
    <row r="35" spans="1:2" x14ac:dyDescent="0.4">
      <c r="A35" t="s">
        <v>3</v>
      </c>
      <c r="B35" t="s">
        <v>31</v>
      </c>
    </row>
    <row r="36" spans="1:2" x14ac:dyDescent="0.4">
      <c r="A36" t="s">
        <v>4</v>
      </c>
      <c r="B36" t="s">
        <v>32</v>
      </c>
    </row>
    <row r="37" spans="1:2" x14ac:dyDescent="0.4">
      <c r="A37" t="s">
        <v>5</v>
      </c>
      <c r="B37" t="s">
        <v>33</v>
      </c>
    </row>
    <row r="38" spans="1:2" x14ac:dyDescent="0.4">
      <c r="A38" t="s">
        <v>6</v>
      </c>
      <c r="B38" t="s">
        <v>34</v>
      </c>
    </row>
    <row r="39" spans="1:2" x14ac:dyDescent="0.4">
      <c r="A39" t="s">
        <v>7</v>
      </c>
      <c r="B39" t="s">
        <v>35</v>
      </c>
    </row>
    <row r="40" spans="1:2" x14ac:dyDescent="0.4">
      <c r="A40" t="s">
        <v>8</v>
      </c>
      <c r="B40" t="s">
        <v>36</v>
      </c>
    </row>
    <row r="41" spans="1:2" x14ac:dyDescent="0.4">
      <c r="A41" t="s">
        <v>9</v>
      </c>
      <c r="B41" t="s">
        <v>37</v>
      </c>
    </row>
    <row r="42" spans="1:2" x14ac:dyDescent="0.4">
      <c r="A42" t="s">
        <v>10</v>
      </c>
      <c r="B42" t="s">
        <v>38</v>
      </c>
    </row>
    <row r="43" spans="1:2" x14ac:dyDescent="0.4">
      <c r="A43" t="s">
        <v>11</v>
      </c>
      <c r="B43" t="s">
        <v>39</v>
      </c>
    </row>
    <row r="44" spans="1:2" x14ac:dyDescent="0.4">
      <c r="A44" t="s">
        <v>12</v>
      </c>
      <c r="B44" t="s">
        <v>40</v>
      </c>
    </row>
    <row r="45" spans="1:2" x14ac:dyDescent="0.4">
      <c r="A45" t="s">
        <v>13</v>
      </c>
      <c r="B45" t="s">
        <v>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31F0-0C4C-4FBB-AADC-E1ACA93F8321}">
  <dimension ref="A1:G45"/>
  <sheetViews>
    <sheetView workbookViewId="0">
      <selection activeCell="F2" sqref="F2:F15"/>
    </sheetView>
  </sheetViews>
  <sheetFormatPr defaultRowHeight="14.6" x14ac:dyDescent="0.4"/>
  <cols>
    <col min="1" max="1" width="14" customWidth="1"/>
    <col min="2" max="2" width="10.07421875" bestFit="1" customWidth="1"/>
    <col min="5" max="5" width="12" bestFit="1" customWidth="1"/>
    <col min="7" max="7" width="12" bestFit="1" customWidth="1"/>
  </cols>
  <sheetData>
    <row r="1" spans="1:7" x14ac:dyDescent="0.4">
      <c r="E1" t="s">
        <v>44</v>
      </c>
      <c r="F1" t="s">
        <v>42</v>
      </c>
      <c r="G1" t="s">
        <v>43</v>
      </c>
    </row>
    <row r="2" spans="1:7" x14ac:dyDescent="0.4">
      <c r="A2" t="s">
        <v>0</v>
      </c>
      <c r="B2">
        <v>19478</v>
      </c>
      <c r="C2">
        <v>10866</v>
      </c>
      <c r="E2" s="2">
        <v>742579</v>
      </c>
      <c r="F2">
        <f>E2/1000</f>
        <v>742.57899999999995</v>
      </c>
      <c r="G2">
        <f>F2/60</f>
        <v>12.376316666666666</v>
      </c>
    </row>
    <row r="3" spans="1:7" x14ac:dyDescent="0.4">
      <c r="A3" t="s">
        <v>1</v>
      </c>
      <c r="B3">
        <v>17975</v>
      </c>
      <c r="C3">
        <v>17900</v>
      </c>
      <c r="E3" s="2">
        <v>1033514</v>
      </c>
      <c r="F3">
        <f t="shared" ref="F3:F15" si="0">E3/1000</f>
        <v>1033.5139999999999</v>
      </c>
      <c r="G3">
        <f t="shared" ref="G3:G15" si="1">F3/60</f>
        <v>17.225233333333332</v>
      </c>
    </row>
    <row r="4" spans="1:7" x14ac:dyDescent="0.4">
      <c r="A4" t="s">
        <v>2</v>
      </c>
      <c r="B4">
        <v>25470</v>
      </c>
      <c r="C4">
        <v>19483</v>
      </c>
      <c r="E4" s="2">
        <v>1637278</v>
      </c>
      <c r="F4">
        <f t="shared" si="0"/>
        <v>1637.278</v>
      </c>
      <c r="G4">
        <f t="shared" si="1"/>
        <v>27.287966666666666</v>
      </c>
    </row>
    <row r="5" spans="1:7" x14ac:dyDescent="0.4">
      <c r="A5" t="s">
        <v>3</v>
      </c>
      <c r="B5">
        <v>8539</v>
      </c>
      <c r="C5">
        <v>6196</v>
      </c>
      <c r="E5" s="2">
        <v>268335</v>
      </c>
      <c r="F5">
        <f t="shared" si="0"/>
        <v>268.33499999999998</v>
      </c>
      <c r="G5">
        <f t="shared" si="1"/>
        <v>4.4722499999999998</v>
      </c>
    </row>
    <row r="6" spans="1:7" x14ac:dyDescent="0.4">
      <c r="A6" t="s">
        <v>4</v>
      </c>
      <c r="B6">
        <v>14075</v>
      </c>
      <c r="C6">
        <v>11948</v>
      </c>
      <c r="E6" s="2">
        <v>654157</v>
      </c>
      <c r="F6">
        <f t="shared" si="0"/>
        <v>654.15700000000004</v>
      </c>
      <c r="G6">
        <f t="shared" si="1"/>
        <v>10.902616666666667</v>
      </c>
    </row>
    <row r="7" spans="1:7" x14ac:dyDescent="0.4">
      <c r="A7" t="s">
        <v>5</v>
      </c>
      <c r="B7">
        <v>17440</v>
      </c>
      <c r="C7">
        <v>16940</v>
      </c>
      <c r="E7" s="2">
        <v>1068848</v>
      </c>
      <c r="F7">
        <f t="shared" si="0"/>
        <v>1068.848</v>
      </c>
      <c r="G7">
        <f t="shared" si="1"/>
        <v>17.814133333333334</v>
      </c>
    </row>
    <row r="8" spans="1:7" x14ac:dyDescent="0.4">
      <c r="A8" t="s">
        <v>6</v>
      </c>
      <c r="B8">
        <v>12751</v>
      </c>
      <c r="C8">
        <v>12504</v>
      </c>
      <c r="E8" s="2">
        <v>749210</v>
      </c>
      <c r="F8">
        <f t="shared" si="0"/>
        <v>749.21</v>
      </c>
      <c r="G8">
        <f t="shared" si="1"/>
        <v>12.486833333333333</v>
      </c>
    </row>
    <row r="9" spans="1:7" x14ac:dyDescent="0.4">
      <c r="A9" t="s">
        <v>7</v>
      </c>
      <c r="B9">
        <v>20779</v>
      </c>
      <c r="C9">
        <v>17392</v>
      </c>
      <c r="E9" s="2">
        <v>1023295</v>
      </c>
      <c r="F9">
        <f t="shared" si="0"/>
        <v>1023.295</v>
      </c>
      <c r="G9">
        <f t="shared" si="1"/>
        <v>17.054916666666667</v>
      </c>
    </row>
    <row r="10" spans="1:7" x14ac:dyDescent="0.4">
      <c r="A10" t="s">
        <v>8</v>
      </c>
      <c r="B10">
        <v>2504</v>
      </c>
      <c r="C10">
        <v>2369</v>
      </c>
      <c r="E10" s="2">
        <v>96812</v>
      </c>
      <c r="F10">
        <f t="shared" si="0"/>
        <v>96.811999999999998</v>
      </c>
      <c r="G10">
        <f t="shared" si="1"/>
        <v>1.6135333333333333</v>
      </c>
    </row>
    <row r="11" spans="1:7" x14ac:dyDescent="0.4">
      <c r="A11" t="s">
        <v>9</v>
      </c>
      <c r="B11">
        <v>3139</v>
      </c>
      <c r="C11">
        <v>3334</v>
      </c>
      <c r="E11" s="2">
        <v>179316</v>
      </c>
      <c r="F11">
        <f t="shared" si="0"/>
        <v>179.316</v>
      </c>
      <c r="G11">
        <f t="shared" si="1"/>
        <v>2.9885999999999999</v>
      </c>
    </row>
    <row r="12" spans="1:7" x14ac:dyDescent="0.4">
      <c r="A12" t="s">
        <v>10</v>
      </c>
      <c r="B12">
        <v>6393</v>
      </c>
      <c r="C12">
        <v>5439</v>
      </c>
      <c r="E12" s="2">
        <v>367841</v>
      </c>
      <c r="F12">
        <f t="shared" si="0"/>
        <v>367.84100000000001</v>
      </c>
      <c r="G12">
        <f t="shared" si="1"/>
        <v>6.1306833333333337</v>
      </c>
    </row>
    <row r="13" spans="1:7" x14ac:dyDescent="0.4">
      <c r="A13" t="s">
        <v>11</v>
      </c>
      <c r="B13">
        <v>1702</v>
      </c>
      <c r="C13">
        <v>1471</v>
      </c>
      <c r="E13" s="2">
        <v>46981</v>
      </c>
      <c r="F13">
        <f t="shared" si="0"/>
        <v>46.981000000000002</v>
      </c>
      <c r="G13">
        <f t="shared" si="1"/>
        <v>0.78301666666666669</v>
      </c>
    </row>
    <row r="14" spans="1:7" x14ac:dyDescent="0.4">
      <c r="A14" t="s">
        <v>12</v>
      </c>
      <c r="B14">
        <v>2643</v>
      </c>
      <c r="C14">
        <v>2573</v>
      </c>
      <c r="E14" s="2">
        <v>106325</v>
      </c>
      <c r="F14">
        <f t="shared" si="0"/>
        <v>106.325</v>
      </c>
      <c r="G14">
        <f t="shared" si="1"/>
        <v>1.7720833333333335</v>
      </c>
    </row>
    <row r="15" spans="1:7" x14ac:dyDescent="0.4">
      <c r="A15" t="s">
        <v>13</v>
      </c>
      <c r="B15">
        <v>4857</v>
      </c>
      <c r="C15">
        <v>4415</v>
      </c>
      <c r="E15" s="2">
        <v>228402</v>
      </c>
      <c r="F15">
        <f t="shared" si="0"/>
        <v>228.40199999999999</v>
      </c>
      <c r="G15">
        <f t="shared" si="1"/>
        <v>3.8066999999999998</v>
      </c>
    </row>
    <row r="16" spans="1:7" x14ac:dyDescent="0.4">
      <c r="E16" s="2">
        <v>15838</v>
      </c>
    </row>
    <row r="17" spans="1:2" x14ac:dyDescent="0.4">
      <c r="A17" t="s">
        <v>0</v>
      </c>
      <c r="B17" t="s">
        <v>45</v>
      </c>
    </row>
    <row r="18" spans="1:2" x14ac:dyDescent="0.4">
      <c r="A18" t="s">
        <v>1</v>
      </c>
      <c r="B18" t="s">
        <v>46</v>
      </c>
    </row>
    <row r="19" spans="1:2" x14ac:dyDescent="0.4">
      <c r="A19" t="s">
        <v>2</v>
      </c>
      <c r="B19" t="s">
        <v>47</v>
      </c>
    </row>
    <row r="20" spans="1:2" x14ac:dyDescent="0.4">
      <c r="A20" t="s">
        <v>3</v>
      </c>
      <c r="B20" t="s">
        <v>48</v>
      </c>
    </row>
    <row r="21" spans="1:2" x14ac:dyDescent="0.4">
      <c r="A21" t="s">
        <v>4</v>
      </c>
      <c r="B21" t="s">
        <v>49</v>
      </c>
    </row>
    <row r="22" spans="1:2" x14ac:dyDescent="0.4">
      <c r="A22" t="s">
        <v>5</v>
      </c>
      <c r="B22" t="s">
        <v>50</v>
      </c>
    </row>
    <row r="23" spans="1:2" x14ac:dyDescent="0.4">
      <c r="A23" t="s">
        <v>6</v>
      </c>
      <c r="B23" t="s">
        <v>51</v>
      </c>
    </row>
    <row r="24" spans="1:2" x14ac:dyDescent="0.4">
      <c r="A24" t="s">
        <v>7</v>
      </c>
      <c r="B24" t="s">
        <v>52</v>
      </c>
    </row>
    <row r="25" spans="1:2" x14ac:dyDescent="0.4">
      <c r="A25" t="s">
        <v>8</v>
      </c>
      <c r="B25" t="s">
        <v>53</v>
      </c>
    </row>
    <row r="26" spans="1:2" x14ac:dyDescent="0.4">
      <c r="A26" t="s">
        <v>9</v>
      </c>
      <c r="B26" t="s">
        <v>54</v>
      </c>
    </row>
    <row r="27" spans="1:2" x14ac:dyDescent="0.4">
      <c r="A27" t="s">
        <v>10</v>
      </c>
      <c r="B27" t="s">
        <v>55</v>
      </c>
    </row>
    <row r="28" spans="1:2" x14ac:dyDescent="0.4">
      <c r="A28" t="s">
        <v>11</v>
      </c>
      <c r="B28" t="s">
        <v>56</v>
      </c>
    </row>
    <row r="29" spans="1:2" x14ac:dyDescent="0.4">
      <c r="A29" t="s">
        <v>12</v>
      </c>
      <c r="B29" t="s">
        <v>57</v>
      </c>
    </row>
    <row r="30" spans="1:2" x14ac:dyDescent="0.4">
      <c r="A30" t="s">
        <v>13</v>
      </c>
      <c r="B30" t="s">
        <v>58</v>
      </c>
    </row>
    <row r="32" spans="1:2" x14ac:dyDescent="0.4">
      <c r="A32" t="s">
        <v>0</v>
      </c>
      <c r="B32" t="s">
        <v>59</v>
      </c>
    </row>
    <row r="33" spans="1:2" x14ac:dyDescent="0.4">
      <c r="A33" t="s">
        <v>1</v>
      </c>
      <c r="B33" t="s">
        <v>60</v>
      </c>
    </row>
    <row r="34" spans="1:2" x14ac:dyDescent="0.4">
      <c r="A34" t="s">
        <v>2</v>
      </c>
      <c r="B34" t="s">
        <v>61</v>
      </c>
    </row>
    <row r="35" spans="1:2" x14ac:dyDescent="0.4">
      <c r="A35" t="s">
        <v>3</v>
      </c>
      <c r="B35" t="s">
        <v>62</v>
      </c>
    </row>
    <row r="36" spans="1:2" x14ac:dyDescent="0.4">
      <c r="A36" t="s">
        <v>4</v>
      </c>
      <c r="B36" t="s">
        <v>63</v>
      </c>
    </row>
    <row r="37" spans="1:2" x14ac:dyDescent="0.4">
      <c r="A37" t="s">
        <v>5</v>
      </c>
      <c r="B37" t="s">
        <v>64</v>
      </c>
    </row>
    <row r="38" spans="1:2" x14ac:dyDescent="0.4">
      <c r="A38" t="s">
        <v>6</v>
      </c>
      <c r="B38" t="s">
        <v>65</v>
      </c>
    </row>
    <row r="39" spans="1:2" x14ac:dyDescent="0.4">
      <c r="A39" t="s">
        <v>7</v>
      </c>
      <c r="B39" t="s">
        <v>66</v>
      </c>
    </row>
    <row r="40" spans="1:2" x14ac:dyDescent="0.4">
      <c r="A40" t="s">
        <v>8</v>
      </c>
      <c r="B40" t="s">
        <v>67</v>
      </c>
    </row>
    <row r="41" spans="1:2" x14ac:dyDescent="0.4">
      <c r="A41" t="s">
        <v>9</v>
      </c>
      <c r="B41" t="s">
        <v>68</v>
      </c>
    </row>
    <row r="42" spans="1:2" x14ac:dyDescent="0.4">
      <c r="A42" t="s">
        <v>10</v>
      </c>
      <c r="B42" t="s">
        <v>69</v>
      </c>
    </row>
    <row r="43" spans="1:2" x14ac:dyDescent="0.4">
      <c r="A43" t="s">
        <v>11</v>
      </c>
      <c r="B43" t="s">
        <v>70</v>
      </c>
    </row>
    <row r="44" spans="1:2" x14ac:dyDescent="0.4">
      <c r="A44" t="s">
        <v>12</v>
      </c>
      <c r="B44" t="s">
        <v>71</v>
      </c>
    </row>
    <row r="45" spans="1:2" x14ac:dyDescent="0.4">
      <c r="A45" t="s">
        <v>13</v>
      </c>
      <c r="B45" t="s">
        <v>72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4F35-E5FB-413F-A53B-E3548B68F189}">
  <dimension ref="A1:C32"/>
  <sheetViews>
    <sheetView topLeftCell="A22" workbookViewId="0">
      <selection activeCell="C18" sqref="C18:C32"/>
    </sheetView>
  </sheetViews>
  <sheetFormatPr defaultRowHeight="14.6" x14ac:dyDescent="0.4"/>
  <cols>
    <col min="2" max="2" width="8.765625" bestFit="1" customWidth="1"/>
  </cols>
  <sheetData>
    <row r="1" spans="1:3" ht="43.75" x14ac:dyDescent="0.4">
      <c r="A1" s="1" t="s">
        <v>73</v>
      </c>
      <c r="B1" s="3" t="s">
        <v>74</v>
      </c>
      <c r="C1" s="1" t="s">
        <v>75</v>
      </c>
    </row>
    <row r="2" spans="1:3" x14ac:dyDescent="0.4">
      <c r="A2" s="2" t="s">
        <v>76</v>
      </c>
      <c r="B2" s="4" t="s">
        <v>77</v>
      </c>
      <c r="C2" s="2">
        <v>14373</v>
      </c>
    </row>
    <row r="3" spans="1:3" x14ac:dyDescent="0.4">
      <c r="A3" s="2" t="s">
        <v>78</v>
      </c>
      <c r="B3" s="4" t="s">
        <v>79</v>
      </c>
      <c r="C3" s="2">
        <v>15212</v>
      </c>
    </row>
    <row r="4" spans="1:3" x14ac:dyDescent="0.4">
      <c r="A4" s="2" t="s">
        <v>80</v>
      </c>
      <c r="B4" s="4" t="s">
        <v>81</v>
      </c>
      <c r="C4" s="2">
        <v>21404</v>
      </c>
    </row>
    <row r="5" spans="1:3" x14ac:dyDescent="0.4">
      <c r="A5" s="2" t="s">
        <v>82</v>
      </c>
      <c r="B5" s="4" t="s">
        <v>83</v>
      </c>
      <c r="C5" s="2">
        <v>6834</v>
      </c>
    </row>
    <row r="6" spans="1:3" x14ac:dyDescent="0.4">
      <c r="A6" s="2" t="s">
        <v>84</v>
      </c>
      <c r="B6" s="4" t="s">
        <v>85</v>
      </c>
      <c r="C6" s="2">
        <v>12094</v>
      </c>
    </row>
    <row r="7" spans="1:3" x14ac:dyDescent="0.4">
      <c r="A7" s="2" t="s">
        <v>86</v>
      </c>
      <c r="B7" s="4" t="s">
        <v>87</v>
      </c>
      <c r="C7" s="2">
        <v>16042</v>
      </c>
    </row>
    <row r="8" spans="1:3" x14ac:dyDescent="0.4">
      <c r="A8" s="2" t="s">
        <v>88</v>
      </c>
      <c r="B8" s="4" t="s">
        <v>89</v>
      </c>
      <c r="C8" s="2">
        <v>11829</v>
      </c>
    </row>
    <row r="9" spans="1:3" x14ac:dyDescent="0.4">
      <c r="A9" s="2" t="s">
        <v>90</v>
      </c>
      <c r="B9" s="4" t="s">
        <v>91</v>
      </c>
      <c r="C9" s="2">
        <v>16454</v>
      </c>
    </row>
    <row r="10" spans="1:3" ht="29.15" x14ac:dyDescent="0.4">
      <c r="A10" s="2" t="s">
        <v>92</v>
      </c>
      <c r="B10" s="4" t="s">
        <v>93</v>
      </c>
      <c r="C10" s="2">
        <v>2250</v>
      </c>
    </row>
    <row r="11" spans="1:3" ht="29.15" x14ac:dyDescent="0.4">
      <c r="A11" s="2" t="s">
        <v>94</v>
      </c>
      <c r="B11" s="4" t="s">
        <v>95</v>
      </c>
      <c r="C11" s="2">
        <v>2937</v>
      </c>
    </row>
    <row r="12" spans="1:3" ht="29.15" x14ac:dyDescent="0.4">
      <c r="A12" s="2" t="s">
        <v>96</v>
      </c>
      <c r="B12" s="4" t="s">
        <v>97</v>
      </c>
      <c r="C12" s="2">
        <v>5392</v>
      </c>
    </row>
    <row r="13" spans="1:3" ht="29.15" x14ac:dyDescent="0.4">
      <c r="A13" s="2" t="s">
        <v>98</v>
      </c>
      <c r="B13" s="4" t="s">
        <v>99</v>
      </c>
      <c r="C13" s="2">
        <v>1623</v>
      </c>
    </row>
    <row r="14" spans="1:3" ht="29.15" x14ac:dyDescent="0.4">
      <c r="A14" s="2" t="s">
        <v>100</v>
      </c>
      <c r="B14" s="4" t="s">
        <v>101</v>
      </c>
      <c r="C14" s="2">
        <v>2683</v>
      </c>
    </row>
    <row r="15" spans="1:3" ht="29.15" x14ac:dyDescent="0.4">
      <c r="A15" s="2" t="s">
        <v>102</v>
      </c>
      <c r="B15" s="4" t="s">
        <v>103</v>
      </c>
      <c r="C15" s="2">
        <v>4512</v>
      </c>
    </row>
    <row r="16" spans="1:3" x14ac:dyDescent="0.4">
      <c r="A16" s="2" t="s">
        <v>104</v>
      </c>
      <c r="B16" s="4" t="s">
        <v>105</v>
      </c>
      <c r="C16" s="2">
        <v>350</v>
      </c>
    </row>
    <row r="17" spans="1:3" ht="43.75" x14ac:dyDescent="0.4">
      <c r="A17" s="1" t="s">
        <v>73</v>
      </c>
      <c r="B17" s="1" t="s">
        <v>74</v>
      </c>
      <c r="C17" s="1" t="s">
        <v>75</v>
      </c>
    </row>
    <row r="18" spans="1:3" ht="58.3" x14ac:dyDescent="0.4">
      <c r="A18" s="2" t="s">
        <v>76</v>
      </c>
      <c r="B18" s="2" t="s">
        <v>106</v>
      </c>
      <c r="C18" s="2">
        <v>742579</v>
      </c>
    </row>
    <row r="19" spans="1:3" ht="58.3" x14ac:dyDescent="0.4">
      <c r="A19" s="2" t="s">
        <v>78</v>
      </c>
      <c r="B19" s="2" t="s">
        <v>107</v>
      </c>
      <c r="C19" s="2">
        <v>1033514</v>
      </c>
    </row>
    <row r="20" spans="1:3" ht="58.3" x14ac:dyDescent="0.4">
      <c r="A20" s="2" t="s">
        <v>80</v>
      </c>
      <c r="B20" s="2" t="s">
        <v>108</v>
      </c>
      <c r="C20" s="2">
        <v>1637278</v>
      </c>
    </row>
    <row r="21" spans="1:3" ht="58.3" x14ac:dyDescent="0.4">
      <c r="A21" s="2" t="s">
        <v>82</v>
      </c>
      <c r="B21" s="2" t="s">
        <v>109</v>
      </c>
      <c r="C21" s="2">
        <v>268335</v>
      </c>
    </row>
    <row r="22" spans="1:3" ht="58.3" x14ac:dyDescent="0.4">
      <c r="A22" s="2" t="s">
        <v>84</v>
      </c>
      <c r="B22" s="2" t="s">
        <v>110</v>
      </c>
      <c r="C22" s="2">
        <v>654157</v>
      </c>
    </row>
    <row r="23" spans="1:3" ht="58.3" x14ac:dyDescent="0.4">
      <c r="A23" s="2" t="s">
        <v>86</v>
      </c>
      <c r="B23" s="2" t="s">
        <v>111</v>
      </c>
      <c r="C23" s="2">
        <v>1068848</v>
      </c>
    </row>
    <row r="24" spans="1:3" ht="58.3" x14ac:dyDescent="0.4">
      <c r="A24" s="2" t="s">
        <v>88</v>
      </c>
      <c r="B24" s="2" t="s">
        <v>112</v>
      </c>
      <c r="C24" s="2">
        <v>749210</v>
      </c>
    </row>
    <row r="25" spans="1:3" ht="58.3" x14ac:dyDescent="0.4">
      <c r="A25" s="2" t="s">
        <v>90</v>
      </c>
      <c r="B25" s="2" t="s">
        <v>113</v>
      </c>
      <c r="C25" s="2">
        <v>1023295</v>
      </c>
    </row>
    <row r="26" spans="1:3" ht="58.3" x14ac:dyDescent="0.4">
      <c r="A26" s="2" t="s">
        <v>92</v>
      </c>
      <c r="B26" s="2" t="s">
        <v>114</v>
      </c>
      <c r="C26" s="2">
        <v>96812</v>
      </c>
    </row>
    <row r="27" spans="1:3" ht="58.3" x14ac:dyDescent="0.4">
      <c r="A27" s="2" t="s">
        <v>94</v>
      </c>
      <c r="B27" s="2" t="s">
        <v>115</v>
      </c>
      <c r="C27" s="2">
        <v>179316</v>
      </c>
    </row>
    <row r="28" spans="1:3" ht="58.3" x14ac:dyDescent="0.4">
      <c r="A28" s="2" t="s">
        <v>96</v>
      </c>
      <c r="B28" s="2" t="s">
        <v>116</v>
      </c>
      <c r="C28" s="2">
        <v>367841</v>
      </c>
    </row>
    <row r="29" spans="1:3" ht="58.3" x14ac:dyDescent="0.4">
      <c r="A29" s="2" t="s">
        <v>98</v>
      </c>
      <c r="B29" s="2" t="s">
        <v>117</v>
      </c>
      <c r="C29" s="2">
        <v>46981</v>
      </c>
    </row>
    <row r="30" spans="1:3" ht="58.3" x14ac:dyDescent="0.4">
      <c r="A30" s="2" t="s">
        <v>100</v>
      </c>
      <c r="B30" s="2" t="s">
        <v>118</v>
      </c>
      <c r="C30" s="2">
        <v>106325</v>
      </c>
    </row>
    <row r="31" spans="1:3" ht="58.3" x14ac:dyDescent="0.4">
      <c r="A31" s="2" t="s">
        <v>102</v>
      </c>
      <c r="B31" s="2" t="s">
        <v>119</v>
      </c>
      <c r="C31" s="2">
        <v>228402</v>
      </c>
    </row>
    <row r="32" spans="1:3" ht="58.3" x14ac:dyDescent="0.4">
      <c r="A32" s="2" t="s">
        <v>104</v>
      </c>
      <c r="B32" s="2" t="s">
        <v>120</v>
      </c>
      <c r="C32" s="2">
        <v>15838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</vt:lpstr>
      <vt:lpstr>nsga3</vt:lpstr>
      <vt:lpstr>nsga2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2025-12-20T14:27:54Z</dcterms:created>
  <dcterms:modified xsi:type="dcterms:W3CDTF">2026-02-22T22:07:47Z</dcterms:modified>
</cp:coreProperties>
</file>