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odeRefactoring\NSGA3\baseline\"/>
    </mc:Choice>
  </mc:AlternateContent>
  <xr:revisionPtr revIDLastSave="0" documentId="13_ncr:1_{E8E24AA6-2BC0-4F68-8B46-BA5EECE94FC8}" xr6:coauthVersionLast="47" xr6:coauthVersionMax="47" xr10:uidLastSave="{00000000-0000-0000-0000-000000000000}"/>
  <bookViews>
    <workbookView xWindow="-103" yWindow="257" windowWidth="33120" windowHeight="18360" activeTab="5" xr2:uid="{00000000-000D-0000-FFFF-FFFF00000000}"/>
  </bookViews>
  <sheets>
    <sheet name="Survey" sheetId="1" r:id="rId1"/>
    <sheet name="Evaluation" sheetId="8" r:id="rId2"/>
    <sheet name="Template" sheetId="6" r:id="rId3"/>
    <sheet name="JDeodorant" sheetId="7" r:id="rId4"/>
    <sheet name="JMove" sheetId="5" r:id="rId5"/>
    <sheet name="REsolution" sheetId="4" r:id="rId6"/>
    <sheet name="HMove" sheetId="9" r:id="rId7"/>
  </sheets>
  <definedNames>
    <definedName name="_xlnm._FilterDatabase" localSheetId="1">Evaluation!$B$1:$F$17</definedName>
    <definedName name="_xlnm._FilterDatabase" localSheetId="0" hidden="1">Survey!$A$1:$J$17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9" l="1"/>
  <c r="N16" i="9"/>
  <c r="K16" i="9"/>
  <c r="I16" i="9"/>
  <c r="F16" i="9"/>
  <c r="D16" i="9"/>
  <c r="P15" i="9"/>
  <c r="N15" i="9"/>
  <c r="K15" i="9"/>
  <c r="I15" i="9"/>
  <c r="F15" i="9"/>
  <c r="D15" i="9"/>
  <c r="P14" i="9"/>
  <c r="N14" i="9"/>
  <c r="K14" i="9"/>
  <c r="I14" i="9"/>
  <c r="F14" i="9"/>
  <c r="D14" i="9"/>
  <c r="P13" i="9"/>
  <c r="N13" i="9"/>
  <c r="K13" i="9"/>
  <c r="I13" i="9"/>
  <c r="F13" i="9"/>
  <c r="D13" i="9"/>
  <c r="P12" i="9"/>
  <c r="N12" i="9"/>
  <c r="K12" i="9"/>
  <c r="I12" i="9"/>
  <c r="F12" i="9"/>
  <c r="D12" i="9"/>
  <c r="P11" i="9"/>
  <c r="N11" i="9"/>
  <c r="K11" i="9"/>
  <c r="I11" i="9"/>
  <c r="F11" i="9"/>
  <c r="D11" i="9"/>
  <c r="P10" i="9"/>
  <c r="N10" i="9"/>
  <c r="K10" i="9"/>
  <c r="I10" i="9"/>
  <c r="F10" i="9"/>
  <c r="D10" i="9"/>
  <c r="P9" i="9"/>
  <c r="N9" i="9"/>
  <c r="K9" i="9"/>
  <c r="I9" i="9"/>
  <c r="F9" i="9"/>
  <c r="D9" i="9"/>
  <c r="P8" i="9"/>
  <c r="N8" i="9"/>
  <c r="K8" i="9"/>
  <c r="I8" i="9"/>
  <c r="F8" i="9"/>
  <c r="D8" i="9"/>
  <c r="P7" i="9"/>
  <c r="N7" i="9"/>
  <c r="K7" i="9"/>
  <c r="I7" i="9"/>
  <c r="F7" i="9"/>
  <c r="D7" i="9"/>
  <c r="P6" i="9"/>
  <c r="N6" i="9"/>
  <c r="K6" i="9"/>
  <c r="I6" i="9"/>
  <c r="F6" i="9"/>
  <c r="D6" i="9"/>
  <c r="P5" i="9"/>
  <c r="N5" i="9"/>
  <c r="K5" i="9"/>
  <c r="I5" i="9"/>
  <c r="F5" i="9"/>
  <c r="D5" i="9"/>
  <c r="P4" i="9"/>
  <c r="N4" i="9"/>
  <c r="K4" i="9"/>
  <c r="I4" i="9"/>
  <c r="F4" i="9"/>
  <c r="D4" i="9"/>
  <c r="P3" i="9"/>
  <c r="N3" i="9"/>
  <c r="K3" i="9"/>
  <c r="I3" i="9"/>
  <c r="F3" i="9"/>
  <c r="D3" i="9"/>
  <c r="M2" i="9"/>
  <c r="H2" i="9"/>
  <c r="P8" i="5"/>
  <c r="N8" i="5"/>
  <c r="K8" i="5"/>
  <c r="I8" i="5"/>
  <c r="F8" i="5"/>
  <c r="D8" i="5"/>
  <c r="M2" i="5"/>
  <c r="H2" i="5"/>
  <c r="P16" i="7"/>
  <c r="N16" i="7"/>
  <c r="K16" i="7"/>
  <c r="I16" i="7"/>
  <c r="F16" i="7"/>
  <c r="D16" i="7"/>
  <c r="P15" i="7"/>
  <c r="N15" i="7"/>
  <c r="K15" i="7"/>
  <c r="I15" i="7"/>
  <c r="F15" i="7"/>
  <c r="D15" i="7"/>
  <c r="P14" i="7"/>
  <c r="N14" i="7"/>
  <c r="K14" i="7"/>
  <c r="I14" i="7"/>
  <c r="F14" i="7"/>
  <c r="D14" i="7"/>
  <c r="P13" i="7"/>
  <c r="N13" i="7"/>
  <c r="K13" i="7"/>
  <c r="I13" i="7"/>
  <c r="F13" i="7"/>
  <c r="D13" i="7"/>
  <c r="P12" i="7"/>
  <c r="N12" i="7"/>
  <c r="K12" i="7"/>
  <c r="I12" i="7"/>
  <c r="F12" i="7"/>
  <c r="D12" i="7"/>
  <c r="P11" i="7"/>
  <c r="N11" i="7"/>
  <c r="K11" i="7"/>
  <c r="I11" i="7"/>
  <c r="F11" i="7"/>
  <c r="D11" i="7"/>
  <c r="P10" i="7"/>
  <c r="N10" i="7"/>
  <c r="K10" i="7"/>
  <c r="I10" i="7"/>
  <c r="F10" i="7"/>
  <c r="D10" i="7"/>
  <c r="P9" i="7"/>
  <c r="N9" i="7"/>
  <c r="K9" i="7"/>
  <c r="I9" i="7"/>
  <c r="F9" i="7"/>
  <c r="D9" i="7"/>
  <c r="P8" i="7"/>
  <c r="N8" i="7"/>
  <c r="K8" i="7"/>
  <c r="I8" i="7"/>
  <c r="F8" i="7"/>
  <c r="D8" i="7"/>
  <c r="P7" i="7"/>
  <c r="N7" i="7"/>
  <c r="K7" i="7"/>
  <c r="I7" i="7"/>
  <c r="F7" i="7"/>
  <c r="D7" i="7"/>
  <c r="P6" i="7"/>
  <c r="N6" i="7"/>
  <c r="K6" i="7"/>
  <c r="I6" i="7"/>
  <c r="F6" i="7"/>
  <c r="D6" i="7"/>
  <c r="P5" i="7"/>
  <c r="N5" i="7"/>
  <c r="K5" i="7"/>
  <c r="I5" i="7"/>
  <c r="F5" i="7"/>
  <c r="D5" i="7"/>
  <c r="P4" i="7"/>
  <c r="N4" i="7"/>
  <c r="K4" i="7"/>
  <c r="I4" i="7"/>
  <c r="F4" i="7"/>
  <c r="D4" i="7"/>
  <c r="P3" i="7"/>
  <c r="N3" i="7"/>
  <c r="K3" i="7"/>
  <c r="I3" i="7"/>
  <c r="F3" i="7"/>
  <c r="D3" i="7"/>
  <c r="M2" i="7"/>
  <c r="H2" i="7"/>
  <c r="P16" i="4"/>
  <c r="N16" i="4"/>
  <c r="K16" i="4"/>
  <c r="I16" i="4"/>
  <c r="F16" i="4"/>
  <c r="D16" i="4"/>
  <c r="P15" i="4"/>
  <c r="N15" i="4"/>
  <c r="K15" i="4"/>
  <c r="I15" i="4"/>
  <c r="F15" i="4"/>
  <c r="D15" i="4"/>
  <c r="P14" i="4"/>
  <c r="N14" i="4"/>
  <c r="K14" i="4"/>
  <c r="I14" i="4"/>
  <c r="F14" i="4"/>
  <c r="D14" i="4"/>
  <c r="P13" i="4"/>
  <c r="N13" i="4"/>
  <c r="K13" i="4"/>
  <c r="I13" i="4"/>
  <c r="F13" i="4"/>
  <c r="D13" i="4"/>
  <c r="P12" i="4"/>
  <c r="N12" i="4"/>
  <c r="K12" i="4"/>
  <c r="I12" i="4"/>
  <c r="F12" i="4"/>
  <c r="D12" i="4"/>
  <c r="P11" i="4"/>
  <c r="N11" i="4"/>
  <c r="K11" i="4"/>
  <c r="I11" i="4"/>
  <c r="F11" i="4"/>
  <c r="D11" i="4"/>
  <c r="P10" i="4"/>
  <c r="N10" i="4"/>
  <c r="K10" i="4"/>
  <c r="I10" i="4"/>
  <c r="F10" i="4"/>
  <c r="D10" i="4"/>
  <c r="P9" i="4"/>
  <c r="N9" i="4"/>
  <c r="K9" i="4"/>
  <c r="I9" i="4"/>
  <c r="F9" i="4"/>
  <c r="D9" i="4"/>
  <c r="P8" i="4"/>
  <c r="N8" i="4"/>
  <c r="K8" i="4"/>
  <c r="I8" i="4"/>
  <c r="F8" i="4"/>
  <c r="D8" i="4"/>
  <c r="P7" i="4"/>
  <c r="N7" i="4"/>
  <c r="K7" i="4"/>
  <c r="I7" i="4"/>
  <c r="F7" i="4"/>
  <c r="D7" i="4"/>
  <c r="P6" i="4"/>
  <c r="N6" i="4"/>
  <c r="K6" i="4"/>
  <c r="I6" i="4"/>
  <c r="F6" i="4"/>
  <c r="D6" i="4"/>
  <c r="P5" i="4"/>
  <c r="N5" i="4"/>
  <c r="K5" i="4"/>
  <c r="I5" i="4"/>
  <c r="F5" i="4"/>
  <c r="D5" i="4"/>
  <c r="P4" i="4"/>
  <c r="N4" i="4"/>
  <c r="K4" i="4"/>
  <c r="I4" i="4"/>
  <c r="F4" i="4"/>
  <c r="D4" i="4"/>
  <c r="P3" i="4"/>
  <c r="N3" i="4"/>
  <c r="K3" i="4"/>
  <c r="I3" i="4"/>
  <c r="F3" i="4"/>
  <c r="D3" i="4"/>
  <c r="M2" i="6"/>
  <c r="H2" i="6"/>
  <c r="P16" i="6"/>
  <c r="N16" i="6"/>
  <c r="K16" i="6"/>
  <c r="I16" i="6"/>
  <c r="F16" i="6"/>
  <c r="D16" i="6"/>
  <c r="P15" i="6"/>
  <c r="N15" i="6"/>
  <c r="K15" i="6"/>
  <c r="I15" i="6"/>
  <c r="F15" i="6"/>
  <c r="D15" i="6"/>
  <c r="P14" i="6"/>
  <c r="N14" i="6"/>
  <c r="K14" i="6"/>
  <c r="I14" i="6"/>
  <c r="F14" i="6"/>
  <c r="D14" i="6"/>
  <c r="P13" i="6"/>
  <c r="N13" i="6"/>
  <c r="K13" i="6"/>
  <c r="I13" i="6"/>
  <c r="F13" i="6"/>
  <c r="D13" i="6"/>
  <c r="P12" i="6"/>
  <c r="N12" i="6"/>
  <c r="K12" i="6"/>
  <c r="I12" i="6"/>
  <c r="F12" i="6"/>
  <c r="D12" i="6"/>
  <c r="P11" i="6"/>
  <c r="N11" i="6"/>
  <c r="K11" i="6"/>
  <c r="I11" i="6"/>
  <c r="F11" i="6"/>
  <c r="D11" i="6"/>
  <c r="P10" i="6"/>
  <c r="N10" i="6"/>
  <c r="K10" i="6"/>
  <c r="I10" i="6"/>
  <c r="F10" i="6"/>
  <c r="D10" i="6"/>
  <c r="P9" i="6"/>
  <c r="N9" i="6"/>
  <c r="K9" i="6"/>
  <c r="I9" i="6"/>
  <c r="F9" i="6"/>
  <c r="D9" i="6"/>
  <c r="P8" i="6"/>
  <c r="N8" i="6"/>
  <c r="K8" i="6"/>
  <c r="I8" i="6"/>
  <c r="F8" i="6"/>
  <c r="D8" i="6"/>
  <c r="P7" i="6"/>
  <c r="N7" i="6"/>
  <c r="K7" i="6"/>
  <c r="I7" i="6"/>
  <c r="F7" i="6"/>
  <c r="D7" i="6"/>
  <c r="P6" i="6"/>
  <c r="N6" i="6"/>
  <c r="K6" i="6"/>
  <c r="I6" i="6"/>
  <c r="F6" i="6"/>
  <c r="D6" i="6"/>
  <c r="P5" i="6"/>
  <c r="N5" i="6"/>
  <c r="K5" i="6"/>
  <c r="I5" i="6"/>
  <c r="F5" i="6"/>
  <c r="D5" i="6"/>
  <c r="P4" i="6"/>
  <c r="N4" i="6"/>
  <c r="K4" i="6"/>
  <c r="I4" i="6"/>
  <c r="F4" i="6"/>
  <c r="D4" i="6"/>
  <c r="P3" i="6"/>
  <c r="N3" i="6"/>
  <c r="K3" i="6"/>
  <c r="I3" i="6"/>
  <c r="F3" i="6"/>
  <c r="D3" i="6"/>
</calcChain>
</file>

<file path=xl/sharedStrings.xml><?xml version="1.0" encoding="utf-8"?>
<sst xmlns="http://schemas.openxmlformats.org/spreadsheetml/2006/main" count="295" uniqueCount="127">
  <si>
    <t>REsolution</t>
  </si>
  <si>
    <t>JMove</t>
  </si>
  <si>
    <t>Jdeodorant</t>
  </si>
  <si>
    <t>eclipse 插件</t>
  </si>
  <si>
    <t>深度学习</t>
  </si>
  <si>
    <t>独立可运行 jar</t>
  </si>
  <si>
    <t>静态分析</t>
  </si>
  <si>
    <t>名称</t>
  </si>
  <si>
    <t>方式</t>
  </si>
  <si>
    <t>进度</t>
  </si>
  <si>
    <t>已完成</t>
  </si>
  <si>
    <t>年份</t>
  </si>
  <si>
    <t>CCF-A</t>
  </si>
  <si>
    <t>The 31st ACM Joint European Software Engineering Conference and Symposium on the Foundations of Software Engineering (ESEC/FSE 2023)</t>
  </si>
  <si>
    <t>期刊等级</t>
  </si>
  <si>
    <t>Journal of Systems and Software</t>
  </si>
  <si>
    <t>CCF-B</t>
  </si>
  <si>
    <t>IEEE International Conference on Software Analysis, Evolution and Reengineering (SANER)</t>
  </si>
  <si>
    <t>工具类型</t>
  </si>
  <si>
    <t>baseline</t>
  </si>
  <si>
    <t>代码</t>
  </si>
  <si>
    <t>IEEE Transactions on Software Engineering</t>
  </si>
  <si>
    <t>ID</t>
  </si>
  <si>
    <t>feDeep</t>
  </si>
  <si>
    <t>feTruth</t>
  </si>
  <si>
    <t>备注</t>
  </si>
  <si>
    <t>DECOR</t>
  </si>
  <si>
    <t>2, 3, 5</t>
  </si>
  <si>
    <t>TACO</t>
  </si>
  <si>
    <t>2016 IEEE 24th International Conference on Program Comprehension (ICPC)</t>
  </si>
  <si>
    <t>3, 6, 7</t>
  </si>
  <si>
    <t>3, 6</t>
  </si>
  <si>
    <t>Bavota's approach</t>
  </si>
  <si>
    <t>Empirical Software Engineering</t>
  </si>
  <si>
    <t>3, 8</t>
  </si>
  <si>
    <t>inCode</t>
  </si>
  <si>
    <t>20th IEEE International Conference on Software Maintenance, 2004.</t>
  </si>
  <si>
    <t>Methodbook</t>
  </si>
  <si>
    <t>3</t>
  </si>
  <si>
    <t>3, 9, 10</t>
  </si>
  <si>
    <t>持续维护到现在</t>
  </si>
  <si>
    <t>对比中</t>
  </si>
  <si>
    <t>期刊名称</t>
  </si>
  <si>
    <t>和自己之前的工作做了对比</t>
  </si>
  <si>
    <t>HMove</t>
  </si>
  <si>
    <t>LLMRefactor</t>
  </si>
  <si>
    <t>PathMove</t>
  </si>
  <si>
    <t>2, 3</t>
  </si>
  <si>
    <t>Rmove</t>
  </si>
  <si>
    <t>2, 3, 13</t>
  </si>
  <si>
    <t>FeGNN</t>
  </si>
  <si>
    <t>GNN</t>
  </si>
  <si>
    <t>FePM</t>
  </si>
  <si>
    <t>2, 3, 4, 5, 12, 13, 14, 15, 16</t>
  </si>
  <si>
    <t>Proceedings of the 39th IEEE/ACM International Conference on Automated Software Engineering</t>
  </si>
  <si>
    <t>Proceedings of the IEEE/ACM 42nd International Conference on Software Engineering Workshops</t>
  </si>
  <si>
    <t>2022 IEEE International Conference on Software Maintenance and Evolution (ICSME)</t>
  </si>
  <si>
    <t>没有涉及依恋情结 (feature envy)</t>
  </si>
  <si>
    <t>提供 GitHub 链接</t>
  </si>
  <si>
    <t>CCF-C</t>
  </si>
  <si>
    <t>一共和 9 个做对比</t>
  </si>
  <si>
    <t>重构 python 项目</t>
  </si>
  <si>
    <t>2023 IEEE/ACM 20th International Conference on Mining Software Repositories (MSR)</t>
  </si>
  <si>
    <t>2022 IEEE 33rd International Symposium on Software Reliability Engineering (ISSRE)</t>
  </si>
  <si>
    <t>1. 排除不支持 Java，方法重构和依恋情结 (Feature envy) 的项目</t>
  </si>
  <si>
    <t>2. 优先选择提供链接方便复现的</t>
  </si>
  <si>
    <t>机器学习</t>
  </si>
  <si>
    <t>神经网络 + llm</t>
  </si>
  <si>
    <t>Relational Topic Model (RTM)</t>
  </si>
  <si>
    <t>文本分析</t>
  </si>
  <si>
    <t>5</t>
  </si>
  <si>
    <t>ant-1_5</t>
  </si>
  <si>
    <t>ant-1_6</t>
  </si>
  <si>
    <t>ant-1_7</t>
  </si>
  <si>
    <t>jEdit-4_0</t>
  </si>
  <si>
    <t>jEdit-4_1</t>
  </si>
  <si>
    <t>camel-1_4</t>
  </si>
  <si>
    <t>camel-1_6</t>
  </si>
  <si>
    <t>lucene-2_0</t>
  </si>
  <si>
    <t>lucene-2_2</t>
  </si>
  <si>
    <t>lucene-2_4</t>
  </si>
  <si>
    <t>synapse-1_0</t>
  </si>
  <si>
    <t>synapse-1_1</t>
  </si>
  <si>
    <t>synapse-1_2</t>
  </si>
  <si>
    <t>WMC</t>
  </si>
  <si>
    <t>CBO</t>
  </si>
  <si>
    <t>RFC</t>
  </si>
  <si>
    <t>Dataset</t>
  </si>
  <si>
    <t>original</t>
  </si>
  <si>
    <t>us</t>
  </si>
  <si>
    <t>jEdit-4_1*</t>
  </si>
  <si>
    <t>jEdit-4.2*</t>
  </si>
  <si>
    <t>lucene-2_2*</t>
  </si>
  <si>
    <t>Resolution</t>
  </si>
  <si>
    <t>Baseline</t>
  </si>
  <si>
    <t>jEdit-4_2</t>
  </si>
  <si>
    <t>synapse-1_0*</t>
  </si>
  <si>
    <t>ant-1_5*</t>
  </si>
  <si>
    <t>ant-1_6*</t>
  </si>
  <si>
    <t>ant-1_7*</t>
  </si>
  <si>
    <t>jEdit-4_0*</t>
  </si>
  <si>
    <t>camel-1_4*</t>
  </si>
  <si>
    <t>camel-1_6*</t>
  </si>
  <si>
    <t>lucene-2_0*</t>
  </si>
  <si>
    <t>lucene-2_4*</t>
  </si>
  <si>
    <t>synapse-1_1*</t>
  </si>
  <si>
    <t>synapse-1_2*</t>
  </si>
  <si>
    <t>Jmove</t>
  </si>
  <si>
    <t>* 表示没有给出重构建议</t>
  </si>
  <si>
    <t>Max Flow-Min Cut approach</t>
  </si>
  <si>
    <t>17</t>
  </si>
  <si>
    <t>图理论</t>
  </si>
  <si>
    <t xml:space="preserve">Extract Class </t>
  </si>
  <si>
    <t>Detect code smell</t>
  </si>
  <si>
    <t>没代码</t>
  </si>
  <si>
    <t>是否对比</t>
  </si>
  <si>
    <t>outperform Jdeodorant, 有代码</t>
  </si>
  <si>
    <t>inCode 在 precision and recall 远差于 JMove.</t>
  </si>
  <si>
    <t>否</t>
  </si>
  <si>
    <t>是</t>
  </si>
  <si>
    <t>outperform feDeep, JDeodorant, and Jmove. 有代码</t>
  </si>
  <si>
    <t>outperform JDeodorant and Jmove.</t>
  </si>
  <si>
    <r>
      <t xml:space="preserve">outperform </t>
    </r>
    <r>
      <rPr>
        <b/>
        <sz val="11"/>
        <color theme="1"/>
        <rFont val="微软雅黑"/>
      </rPr>
      <t>PathMove</t>
    </r>
    <r>
      <rPr>
        <sz val="11"/>
        <color theme="1"/>
        <rFont val="微软雅黑"/>
      </rPr>
      <t>, JDeodorant, and Jmove. 有代码</t>
    </r>
  </si>
  <si>
    <t>outperform LLMRefactor, FeTruth, FeDeep, PathMove, JDeodorant, JMove, RMove, FeGNN and FePM. 有代码</t>
  </si>
  <si>
    <t>无代码</t>
  </si>
  <si>
    <t>ours</t>
  </si>
  <si>
    <t>Hmove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</si>
</sst>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微软雅黑"/>
    </font>
    <font>
      <sz val="11"/>
      <color theme="1"/>
      <name val="Aptos Narrow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i/>
      <sz val="8"/>
      <color rgb="FF000000"/>
      <name val="微软雅黑"/>
    </font>
    <font>
      <b/>
      <sz val="11"/>
      <color theme="1"/>
      <name val="微软雅黑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10">
    <dxf>
      <font>
        <color rgb="FFC00000"/>
      </font>
      <fill>
        <patternFill patternType="none">
          <bgColor auto="1"/>
        </patternFill>
      </fill>
    </dxf>
    <dxf>
      <font>
        <color rgb="FF92D050"/>
      </font>
    </dxf>
    <dxf>
      <font>
        <color rgb="FFC00000"/>
      </font>
      <fill>
        <patternFill patternType="none">
          <bgColor auto="1"/>
        </patternFill>
      </fill>
    </dxf>
    <dxf>
      <font>
        <color rgb="FF92D050"/>
      </font>
    </dxf>
    <dxf>
      <font>
        <color rgb="FFC00000"/>
      </font>
      <fill>
        <patternFill patternType="none">
          <bgColor auto="1"/>
        </patternFill>
      </fill>
    </dxf>
    <dxf>
      <font>
        <color rgb="FF92D050"/>
      </font>
    </dxf>
    <dxf>
      <font>
        <color rgb="FFC00000"/>
      </font>
      <fill>
        <patternFill patternType="none">
          <bgColor auto="1"/>
        </patternFill>
      </fill>
    </dxf>
    <dxf>
      <font>
        <color rgb="FF92D050"/>
      </font>
    </dxf>
    <dxf>
      <font>
        <color rgb="FFC00000"/>
      </font>
      <fill>
        <patternFill patternType="none">
          <bgColor auto="1"/>
        </patternFill>
      </fill>
    </dxf>
    <dxf>
      <font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J20"/>
  <sheetViews>
    <sheetView zoomScale="145" zoomScaleNormal="145" workbookViewId="0">
      <selection activeCell="F6" sqref="F6"/>
    </sheetView>
  </sheetViews>
  <sheetFormatPr defaultColWidth="9.15234375" defaultRowHeight="16.3"/>
  <cols>
    <col min="1" max="1" width="3.84375" style="3" customWidth="1"/>
    <col min="2" max="2" width="30.84375" style="5" customWidth="1"/>
    <col min="3" max="3" width="25.3046875" style="8" customWidth="1"/>
    <col min="4" max="4" width="9.15234375" style="4"/>
    <col min="5" max="5" width="8.84375" style="4" bestFit="1" customWidth="1"/>
    <col min="6" max="6" width="29.84375" style="6" bestFit="1" customWidth="1"/>
    <col min="7" max="7" width="14.53515625" style="5" bestFit="1" customWidth="1"/>
    <col min="8" max="8" width="15.3046875" style="5" bestFit="1" customWidth="1"/>
    <col min="9" max="9" width="6.84375" style="5" bestFit="1" customWidth="1"/>
    <col min="10" max="10" width="16" style="5" customWidth="1"/>
    <col min="11" max="16384" width="9.15234375" style="5"/>
  </cols>
  <sheetData>
    <row r="1" spans="1:10" s="3" customFormat="1" ht="19.399999999999999" customHeight="1">
      <c r="A1" s="2" t="s">
        <v>22</v>
      </c>
      <c r="B1" s="2" t="s">
        <v>7</v>
      </c>
      <c r="C1" s="7" t="s">
        <v>19</v>
      </c>
      <c r="D1" s="2" t="s">
        <v>11</v>
      </c>
      <c r="E1" s="2" t="s">
        <v>14</v>
      </c>
      <c r="F1" s="2" t="s">
        <v>25</v>
      </c>
      <c r="G1" s="2" t="s">
        <v>8</v>
      </c>
      <c r="H1" s="2" t="s">
        <v>18</v>
      </c>
      <c r="I1" s="2" t="s">
        <v>9</v>
      </c>
      <c r="J1" s="2" t="s">
        <v>42</v>
      </c>
    </row>
    <row r="2" spans="1:10">
      <c r="A2" s="3">
        <v>1</v>
      </c>
      <c r="B2" s="10" t="s">
        <v>0</v>
      </c>
      <c r="C2" s="8" t="s">
        <v>34</v>
      </c>
      <c r="D2" s="4">
        <v>2018</v>
      </c>
      <c r="E2" s="4" t="s">
        <v>12</v>
      </c>
      <c r="G2" s="1" t="s">
        <v>6</v>
      </c>
      <c r="H2" s="1" t="s">
        <v>5</v>
      </c>
      <c r="I2" s="1" t="s">
        <v>10</v>
      </c>
      <c r="J2" s="5" t="s">
        <v>21</v>
      </c>
    </row>
    <row r="3" spans="1:10">
      <c r="A3" s="3">
        <v>2</v>
      </c>
      <c r="B3" s="10" t="s">
        <v>1</v>
      </c>
      <c r="C3" s="8" t="s">
        <v>39</v>
      </c>
      <c r="D3" s="4">
        <v>2018</v>
      </c>
      <c r="E3" s="4" t="s">
        <v>16</v>
      </c>
      <c r="G3" s="1" t="s">
        <v>6</v>
      </c>
      <c r="H3" s="1" t="s">
        <v>3</v>
      </c>
      <c r="I3" s="1" t="s">
        <v>41</v>
      </c>
      <c r="J3" s="5" t="s">
        <v>15</v>
      </c>
    </row>
    <row r="4" spans="1:10">
      <c r="A4" s="3">
        <v>3</v>
      </c>
      <c r="B4" s="10" t="s">
        <v>2</v>
      </c>
      <c r="D4" s="4">
        <v>2009</v>
      </c>
      <c r="E4" s="4" t="s">
        <v>16</v>
      </c>
      <c r="F4" s="6" t="s">
        <v>40</v>
      </c>
      <c r="G4" s="1" t="s">
        <v>6</v>
      </c>
      <c r="H4" s="1" t="s">
        <v>3</v>
      </c>
      <c r="I4" s="1" t="s">
        <v>41</v>
      </c>
      <c r="J4" s="5" t="s">
        <v>17</v>
      </c>
    </row>
    <row r="5" spans="1:10">
      <c r="A5" s="3">
        <v>4</v>
      </c>
      <c r="B5" s="1" t="s">
        <v>24</v>
      </c>
      <c r="C5" s="8" t="s">
        <v>27</v>
      </c>
      <c r="D5" s="4">
        <v>2023</v>
      </c>
      <c r="E5" s="4" t="s">
        <v>12</v>
      </c>
      <c r="F5" s="6" t="s">
        <v>58</v>
      </c>
      <c r="G5" s="1" t="s">
        <v>4</v>
      </c>
      <c r="H5" s="1" t="s">
        <v>20</v>
      </c>
      <c r="I5" s="1"/>
      <c r="J5" s="5" t="s">
        <v>13</v>
      </c>
    </row>
    <row r="6" spans="1:10">
      <c r="A6" s="3">
        <v>5</v>
      </c>
      <c r="B6" s="5" t="s">
        <v>23</v>
      </c>
      <c r="C6" s="8" t="s">
        <v>30</v>
      </c>
      <c r="D6" s="4">
        <v>2021</v>
      </c>
      <c r="E6" s="4" t="s">
        <v>12</v>
      </c>
      <c r="G6" s="1" t="s">
        <v>4</v>
      </c>
      <c r="H6" s="1" t="s">
        <v>20</v>
      </c>
      <c r="J6" s="5" t="s">
        <v>21</v>
      </c>
    </row>
    <row r="7" spans="1:10">
      <c r="A7" s="3">
        <v>6</v>
      </c>
      <c r="B7" s="5" t="s">
        <v>26</v>
      </c>
      <c r="D7" s="4">
        <v>2010</v>
      </c>
      <c r="E7" s="4" t="s">
        <v>12</v>
      </c>
      <c r="F7" s="6" t="s">
        <v>57</v>
      </c>
      <c r="J7" s="5" t="s">
        <v>21</v>
      </c>
    </row>
    <row r="8" spans="1:10">
      <c r="A8" s="3">
        <v>7</v>
      </c>
      <c r="B8" s="5" t="s">
        <v>28</v>
      </c>
      <c r="C8" s="8" t="s">
        <v>31</v>
      </c>
      <c r="D8" s="4">
        <v>2016</v>
      </c>
      <c r="E8" s="4" t="s">
        <v>16</v>
      </c>
      <c r="G8" s="5" t="s">
        <v>69</v>
      </c>
      <c r="J8" s="5" t="s">
        <v>29</v>
      </c>
    </row>
    <row r="9" spans="1:10">
      <c r="A9" s="3">
        <v>8</v>
      </c>
      <c r="B9" s="5" t="s">
        <v>32</v>
      </c>
      <c r="C9" s="8" t="s">
        <v>110</v>
      </c>
      <c r="D9" s="4">
        <v>2014</v>
      </c>
      <c r="E9" s="4" t="s">
        <v>16</v>
      </c>
      <c r="F9" s="6" t="s">
        <v>43</v>
      </c>
      <c r="J9" s="5" t="s">
        <v>33</v>
      </c>
    </row>
    <row r="10" spans="1:10" ht="16" customHeight="1">
      <c r="A10" s="3">
        <v>9</v>
      </c>
      <c r="B10" s="5" t="s">
        <v>35</v>
      </c>
      <c r="D10" s="4">
        <v>2004</v>
      </c>
      <c r="E10" s="4" t="s">
        <v>16</v>
      </c>
      <c r="J10" s="5" t="s">
        <v>36</v>
      </c>
    </row>
    <row r="11" spans="1:10">
      <c r="A11" s="3">
        <v>10</v>
      </c>
      <c r="B11" s="5" t="s">
        <v>37</v>
      </c>
      <c r="C11" s="8" t="s">
        <v>38</v>
      </c>
      <c r="D11" s="4">
        <v>2014</v>
      </c>
      <c r="E11" s="4" t="s">
        <v>12</v>
      </c>
      <c r="G11" s="5" t="s">
        <v>68</v>
      </c>
      <c r="J11" s="5" t="s">
        <v>21</v>
      </c>
    </row>
    <row r="12" spans="1:10">
      <c r="A12" s="3">
        <v>11</v>
      </c>
      <c r="B12" s="5" t="s">
        <v>44</v>
      </c>
      <c r="C12" s="8" t="s">
        <v>53</v>
      </c>
      <c r="D12" s="4">
        <v>2024</v>
      </c>
      <c r="E12" s="4" t="s">
        <v>12</v>
      </c>
      <c r="F12" s="6" t="s">
        <v>60</v>
      </c>
      <c r="G12" s="5" t="s">
        <v>67</v>
      </c>
      <c r="J12" s="5" t="s">
        <v>54</v>
      </c>
    </row>
    <row r="13" spans="1:10">
      <c r="A13" s="3">
        <v>12</v>
      </c>
      <c r="B13" s="5" t="s">
        <v>45</v>
      </c>
      <c r="D13" s="4">
        <v>2023</v>
      </c>
      <c r="E13" s="4" t="s">
        <v>59</v>
      </c>
      <c r="F13" s="6" t="s">
        <v>61</v>
      </c>
      <c r="J13" s="5" t="s">
        <v>55</v>
      </c>
    </row>
    <row r="14" spans="1:10">
      <c r="A14" s="3">
        <v>13</v>
      </c>
      <c r="B14" s="5" t="s">
        <v>46</v>
      </c>
      <c r="C14" s="8" t="s">
        <v>47</v>
      </c>
      <c r="D14" s="4">
        <v>2022</v>
      </c>
      <c r="E14" s="4" t="s">
        <v>12</v>
      </c>
      <c r="G14" s="5" t="s">
        <v>66</v>
      </c>
      <c r="J14" s="5" t="s">
        <v>55</v>
      </c>
    </row>
    <row r="15" spans="1:10">
      <c r="A15" s="3">
        <v>14</v>
      </c>
      <c r="B15" s="5" t="s">
        <v>48</v>
      </c>
      <c r="C15" s="8" t="s">
        <v>49</v>
      </c>
      <c r="D15" s="4">
        <v>2022</v>
      </c>
      <c r="E15" s="4" t="s">
        <v>16</v>
      </c>
      <c r="G15" s="5" t="s">
        <v>66</v>
      </c>
      <c r="J15" s="5" t="s">
        <v>56</v>
      </c>
    </row>
    <row r="16" spans="1:10">
      <c r="A16" s="3">
        <v>15</v>
      </c>
      <c r="B16" s="5" t="s">
        <v>50</v>
      </c>
      <c r="C16" s="8" t="s">
        <v>27</v>
      </c>
      <c r="D16" s="4">
        <v>2022</v>
      </c>
      <c r="E16" s="4" t="s">
        <v>16</v>
      </c>
      <c r="F16" s="6" t="s">
        <v>58</v>
      </c>
      <c r="G16" s="5" t="s">
        <v>51</v>
      </c>
      <c r="J16" s="5" t="s">
        <v>63</v>
      </c>
    </row>
    <row r="17" spans="1:10">
      <c r="A17" s="3">
        <v>16</v>
      </c>
      <c r="B17" s="5" t="s">
        <v>52</v>
      </c>
      <c r="C17" s="8" t="s">
        <v>70</v>
      </c>
      <c r="D17" s="4">
        <v>2023</v>
      </c>
      <c r="E17" s="4" t="s">
        <v>59</v>
      </c>
      <c r="J17" s="5" t="s">
        <v>62</v>
      </c>
    </row>
    <row r="18" spans="1:10">
      <c r="A18" s="3">
        <v>17</v>
      </c>
      <c r="B18" s="5" t="s">
        <v>109</v>
      </c>
      <c r="D18" s="4">
        <v>2011</v>
      </c>
      <c r="E18" s="4" t="s">
        <v>16</v>
      </c>
      <c r="G18" s="5" t="s">
        <v>111</v>
      </c>
      <c r="J18" s="5" t="s">
        <v>15</v>
      </c>
    </row>
    <row r="19" spans="1:10">
      <c r="B19" s="5" t="s">
        <v>64</v>
      </c>
    </row>
    <row r="20" spans="1:10">
      <c r="B20" s="9" t="s">
        <v>65</v>
      </c>
    </row>
  </sheetData>
  <autoFilter ref="A1:J17" xr:uid="{00000000-0001-0000-0000-000000000000}">
    <sortState xmlns:xlrd2="http://schemas.microsoft.com/office/spreadsheetml/2017/richdata2" ref="A2:J17">
      <sortCondition ref="A1:A17"/>
    </sortState>
  </autoFilter>
  <pageMargins left="0.7" right="0.7" top="0.75" bottom="0.75" header="0.3" footer="0.3"/>
  <pageSetup paperSize="9" scale="55"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C1D7-6409-4994-B7D1-8F5919F2C57B}">
  <dimension ref="A1:F18"/>
  <sheetViews>
    <sheetView zoomScale="145" zoomScaleNormal="145" workbookViewId="0">
      <selection activeCell="E12" sqref="E12"/>
    </sheetView>
  </sheetViews>
  <sheetFormatPr defaultRowHeight="14.6"/>
  <cols>
    <col min="1" max="1" width="4.69140625" customWidth="1"/>
    <col min="2" max="2" width="21.69140625" customWidth="1"/>
    <col min="3" max="3" width="10.15234375" bestFit="1" customWidth="1"/>
    <col min="4" max="4" width="14.3828125" bestFit="1" customWidth="1"/>
    <col min="5" max="5" width="13.3046875" bestFit="1" customWidth="1"/>
    <col min="6" max="6" width="54.84375" style="18" customWidth="1"/>
  </cols>
  <sheetData>
    <row r="1" spans="1:6" ht="16.3">
      <c r="A1" s="2"/>
      <c r="B1" s="2" t="s">
        <v>7</v>
      </c>
      <c r="C1" s="2" t="s">
        <v>11</v>
      </c>
      <c r="D1" s="2" t="s">
        <v>14</v>
      </c>
      <c r="E1" s="2" t="s">
        <v>115</v>
      </c>
      <c r="F1" s="17"/>
    </row>
    <row r="2" spans="1:6" ht="16.3">
      <c r="A2" s="5">
        <v>1</v>
      </c>
      <c r="B2" s="5" t="s">
        <v>35</v>
      </c>
      <c r="C2" s="4">
        <v>2004</v>
      </c>
      <c r="D2" s="4" t="s">
        <v>16</v>
      </c>
      <c r="E2" s="4" t="s">
        <v>118</v>
      </c>
      <c r="F2" s="6" t="s">
        <v>117</v>
      </c>
    </row>
    <row r="3" spans="1:6" ht="16.3">
      <c r="A3" s="5">
        <v>2</v>
      </c>
      <c r="B3" s="10" t="s">
        <v>2</v>
      </c>
      <c r="C3" s="4">
        <v>2009</v>
      </c>
      <c r="D3" s="4" t="s">
        <v>16</v>
      </c>
      <c r="E3" s="4" t="s">
        <v>119</v>
      </c>
      <c r="F3" s="6"/>
    </row>
    <row r="4" spans="1:6" ht="16.3">
      <c r="A4" s="5">
        <v>3</v>
      </c>
      <c r="B4" s="5" t="s">
        <v>26</v>
      </c>
      <c r="C4" s="4">
        <v>2010</v>
      </c>
      <c r="D4" s="4" t="s">
        <v>12</v>
      </c>
      <c r="E4" s="4" t="s">
        <v>118</v>
      </c>
      <c r="F4" s="6" t="s">
        <v>57</v>
      </c>
    </row>
    <row r="5" spans="1:6" ht="16.3">
      <c r="A5" s="5">
        <v>4</v>
      </c>
      <c r="B5" s="5" t="s">
        <v>109</v>
      </c>
      <c r="C5" s="4">
        <v>2011</v>
      </c>
      <c r="D5" s="4" t="s">
        <v>16</v>
      </c>
      <c r="E5" s="4" t="s">
        <v>118</v>
      </c>
      <c r="F5" s="6" t="s">
        <v>112</v>
      </c>
    </row>
    <row r="6" spans="1:6" ht="16.3">
      <c r="A6" s="5">
        <v>5</v>
      </c>
      <c r="B6" s="5" t="s">
        <v>32</v>
      </c>
      <c r="C6" s="4">
        <v>2014</v>
      </c>
      <c r="D6" s="4" t="s">
        <v>16</v>
      </c>
      <c r="E6" s="4" t="s">
        <v>118</v>
      </c>
      <c r="F6" s="6" t="s">
        <v>112</v>
      </c>
    </row>
    <row r="7" spans="1:6" ht="16.3">
      <c r="A7" s="5">
        <v>6</v>
      </c>
      <c r="B7" s="5" t="s">
        <v>37</v>
      </c>
      <c r="C7" s="4">
        <v>2014</v>
      </c>
      <c r="D7" s="4" t="s">
        <v>12</v>
      </c>
      <c r="E7" s="4"/>
      <c r="F7" s="6" t="s">
        <v>114</v>
      </c>
    </row>
    <row r="8" spans="1:6" ht="16.3">
      <c r="A8" s="5">
        <v>7</v>
      </c>
      <c r="B8" s="5" t="s">
        <v>28</v>
      </c>
      <c r="C8" s="4">
        <v>2016</v>
      </c>
      <c r="D8" s="4" t="s">
        <v>16</v>
      </c>
      <c r="E8" s="4" t="s">
        <v>118</v>
      </c>
      <c r="F8" s="6" t="s">
        <v>113</v>
      </c>
    </row>
    <row r="9" spans="1:6" ht="16.3">
      <c r="A9" s="5">
        <v>8</v>
      </c>
      <c r="B9" s="10" t="s">
        <v>0</v>
      </c>
      <c r="C9" s="4">
        <v>2018</v>
      </c>
      <c r="D9" s="4" t="s">
        <v>12</v>
      </c>
      <c r="E9" s="4" t="s">
        <v>119</v>
      </c>
      <c r="F9" s="6"/>
    </row>
    <row r="10" spans="1:6" ht="16.3">
      <c r="A10" s="5">
        <v>9</v>
      </c>
      <c r="B10" s="10" t="s">
        <v>1</v>
      </c>
      <c r="C10" s="4">
        <v>2018</v>
      </c>
      <c r="D10" s="4" t="s">
        <v>16</v>
      </c>
      <c r="E10" s="4" t="s">
        <v>119</v>
      </c>
      <c r="F10" s="6"/>
    </row>
    <row r="11" spans="1:6" ht="16.3">
      <c r="A11" s="5">
        <v>10</v>
      </c>
      <c r="B11" s="5" t="s">
        <v>23</v>
      </c>
      <c r="C11" s="4">
        <v>2021</v>
      </c>
      <c r="D11" s="4" t="s">
        <v>12</v>
      </c>
      <c r="E11" s="4"/>
      <c r="F11" s="6" t="s">
        <v>116</v>
      </c>
    </row>
    <row r="12" spans="1:6" ht="16.3">
      <c r="A12" s="5">
        <v>11</v>
      </c>
      <c r="B12" s="5" t="s">
        <v>46</v>
      </c>
      <c r="C12" s="4">
        <v>2022</v>
      </c>
      <c r="D12" s="4" t="s">
        <v>12</v>
      </c>
      <c r="E12" s="4" t="s">
        <v>118</v>
      </c>
      <c r="F12" s="6" t="s">
        <v>121</v>
      </c>
    </row>
    <row r="13" spans="1:6" ht="16.3">
      <c r="A13" s="5">
        <v>12</v>
      </c>
      <c r="B13" s="5" t="s">
        <v>48</v>
      </c>
      <c r="C13" s="4">
        <v>2022</v>
      </c>
      <c r="D13" s="4" t="s">
        <v>16</v>
      </c>
      <c r="E13" s="4"/>
      <c r="F13" s="6" t="s">
        <v>122</v>
      </c>
    </row>
    <row r="14" spans="1:6" ht="16.3">
      <c r="A14" s="5">
        <v>13</v>
      </c>
      <c r="B14" s="5" t="s">
        <v>50</v>
      </c>
      <c r="C14" s="4">
        <v>2022</v>
      </c>
      <c r="D14" s="4" t="s">
        <v>16</v>
      </c>
      <c r="E14" s="4"/>
      <c r="F14" s="6" t="s">
        <v>120</v>
      </c>
    </row>
    <row r="15" spans="1:6" ht="16.3">
      <c r="A15" s="5">
        <v>14</v>
      </c>
      <c r="B15" s="1" t="s">
        <v>24</v>
      </c>
      <c r="C15" s="4">
        <v>2023</v>
      </c>
      <c r="D15" s="4" t="s">
        <v>12</v>
      </c>
      <c r="E15" s="4"/>
      <c r="F15" s="6" t="s">
        <v>120</v>
      </c>
    </row>
    <row r="16" spans="1:6" ht="16.3">
      <c r="A16" s="5">
        <v>15</v>
      </c>
      <c r="B16" s="5" t="s">
        <v>45</v>
      </c>
      <c r="C16" s="4">
        <v>2023</v>
      </c>
      <c r="D16" s="4" t="s">
        <v>59</v>
      </c>
      <c r="E16" s="4"/>
      <c r="F16" s="6" t="s">
        <v>124</v>
      </c>
    </row>
    <row r="17" spans="1:6" ht="16.3">
      <c r="A17" s="5">
        <v>16</v>
      </c>
      <c r="B17" s="5" t="s">
        <v>52</v>
      </c>
      <c r="C17" s="4">
        <v>2023</v>
      </c>
      <c r="D17" s="4" t="s">
        <v>59</v>
      </c>
      <c r="E17" s="4"/>
      <c r="F17" s="6" t="s">
        <v>124</v>
      </c>
    </row>
    <row r="18" spans="1:6" ht="16.3">
      <c r="A18" s="5">
        <v>17</v>
      </c>
      <c r="B18" s="5" t="s">
        <v>44</v>
      </c>
      <c r="C18" s="4">
        <v>2024</v>
      </c>
      <c r="D18" s="4" t="s">
        <v>12</v>
      </c>
      <c r="E18" s="4"/>
      <c r="F18" s="6" t="s">
        <v>123</v>
      </c>
    </row>
  </sheetData>
  <autoFilter ref="B1:F17" xr:uid="{EC39C1D7-6409-4994-B7D1-8F5919F2C57B}">
    <sortState xmlns:xlrd2="http://schemas.microsoft.com/office/spreadsheetml/2017/richdata2" ref="B2:F18">
      <sortCondition ref="C1:C17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BDA7-8BED-428F-8B0B-C5657EC39DFF}">
  <sheetPr>
    <tabColor rgb="FF002060"/>
  </sheetPr>
  <dimension ref="A1:P17"/>
  <sheetViews>
    <sheetView zoomScale="190" zoomScaleNormal="190" workbookViewId="0">
      <selection activeCell="G8" sqref="A1:P17"/>
    </sheetView>
  </sheetViews>
  <sheetFormatPr defaultRowHeight="14.6"/>
  <cols>
    <col min="1" max="1" width="11" bestFit="1" customWidth="1"/>
    <col min="2" max="2" width="6.84375" bestFit="1" customWidth="1"/>
    <col min="3" max="3" width="7.53515625" bestFit="1" customWidth="1"/>
    <col min="4" max="4" width="4.3828125" bestFit="1" customWidth="1"/>
    <col min="5" max="5" width="4.3046875" bestFit="1" customWidth="1"/>
    <col min="6" max="6" width="4" bestFit="1" customWidth="1"/>
    <col min="7" max="7" width="6.84375" bestFit="1" customWidth="1"/>
    <col min="8" max="8" width="7.53515625" bestFit="1" customWidth="1"/>
    <col min="9" max="9" width="4.3828125" bestFit="1" customWidth="1"/>
    <col min="10" max="10" width="4.3046875" bestFit="1" customWidth="1"/>
    <col min="11" max="11" width="4" bestFit="1" customWidth="1"/>
    <col min="12" max="12" width="6.84375" bestFit="1" customWidth="1"/>
    <col min="13" max="13" width="7.53515625" bestFit="1" customWidth="1"/>
    <col min="14" max="14" width="4.3828125" bestFit="1" customWidth="1"/>
    <col min="15" max="15" width="4.3046875" bestFit="1" customWidth="1"/>
    <col min="16" max="16" width="4.3828125" bestFit="1" customWidth="1"/>
  </cols>
  <sheetData>
    <row r="1" spans="1:16">
      <c r="A1" s="11"/>
      <c r="B1" s="12" t="s">
        <v>84</v>
      </c>
      <c r="E1" s="12"/>
      <c r="F1" s="12"/>
      <c r="G1" s="12" t="s">
        <v>85</v>
      </c>
      <c r="J1" s="12"/>
      <c r="K1" s="12"/>
      <c r="L1" s="12" t="s">
        <v>86</v>
      </c>
      <c r="O1" s="11"/>
    </row>
    <row r="2" spans="1:16">
      <c r="A2" s="15" t="s">
        <v>87</v>
      </c>
      <c r="B2" s="15" t="s">
        <v>88</v>
      </c>
      <c r="C2" s="15" t="s">
        <v>94</v>
      </c>
      <c r="D2" s="15"/>
      <c r="E2" s="15" t="s">
        <v>125</v>
      </c>
      <c r="F2" s="15"/>
      <c r="G2" s="15" t="s">
        <v>88</v>
      </c>
      <c r="H2" s="15" t="str">
        <f>C2</f>
        <v>Baseline</v>
      </c>
      <c r="I2" s="15"/>
      <c r="J2" s="15" t="s">
        <v>125</v>
      </c>
      <c r="K2" s="15"/>
      <c r="L2" s="15" t="s">
        <v>88</v>
      </c>
      <c r="M2" s="15" t="str">
        <f>C2</f>
        <v>Baseline</v>
      </c>
      <c r="N2" s="15"/>
      <c r="O2" s="15" t="s">
        <v>125</v>
      </c>
      <c r="P2" s="15"/>
    </row>
    <row r="3" spans="1:16">
      <c r="A3" s="13" t="s">
        <v>71</v>
      </c>
      <c r="B3" s="14">
        <v>89</v>
      </c>
      <c r="C3" s="13"/>
      <c r="D3" s="13">
        <f>C3-B3</f>
        <v>-89</v>
      </c>
      <c r="E3" s="14">
        <v>52</v>
      </c>
      <c r="F3" s="14">
        <f t="shared" ref="F3:F16" si="0">E3-B3</f>
        <v>-37</v>
      </c>
      <c r="G3" s="14">
        <v>56</v>
      </c>
      <c r="H3" s="13"/>
      <c r="I3" s="13">
        <f>H3-G3</f>
        <v>-56</v>
      </c>
      <c r="J3" s="14">
        <v>41</v>
      </c>
      <c r="K3" s="14">
        <f>J3-G3</f>
        <v>-15</v>
      </c>
      <c r="L3" s="14">
        <v>58</v>
      </c>
      <c r="M3" s="13"/>
      <c r="N3" s="13">
        <f>M3-L3</f>
        <v>-58</v>
      </c>
      <c r="O3" s="14">
        <v>37</v>
      </c>
      <c r="P3" s="13">
        <f>O3-L3</f>
        <v>-21</v>
      </c>
    </row>
    <row r="4" spans="1:16">
      <c r="A4" s="13" t="s">
        <v>72</v>
      </c>
      <c r="B4" s="14">
        <v>122</v>
      </c>
      <c r="C4" s="13"/>
      <c r="D4" s="13">
        <f t="shared" ref="D4:D16" si="1">C4-B4</f>
        <v>-122</v>
      </c>
      <c r="E4" s="14">
        <v>76</v>
      </c>
      <c r="F4" s="14">
        <f t="shared" si="0"/>
        <v>-46</v>
      </c>
      <c r="G4" s="14">
        <v>80</v>
      </c>
      <c r="H4" s="13"/>
      <c r="I4" s="13">
        <f t="shared" ref="I4:I16" si="2">H4-G4</f>
        <v>-80</v>
      </c>
      <c r="J4" s="14">
        <v>55</v>
      </c>
      <c r="K4" s="14">
        <f t="shared" ref="K4:K16" si="3">J4-G4</f>
        <v>-25</v>
      </c>
      <c r="L4" s="14">
        <v>119</v>
      </c>
      <c r="M4" s="13"/>
      <c r="N4" s="13">
        <f t="shared" ref="N4:N16" si="4">M4-L4</f>
        <v>-119</v>
      </c>
      <c r="O4" s="14">
        <v>68</v>
      </c>
      <c r="P4" s="13">
        <f t="shared" ref="P4:P16" si="5">O4-L4</f>
        <v>-51</v>
      </c>
    </row>
    <row r="5" spans="1:16">
      <c r="A5" s="13" t="s">
        <v>73</v>
      </c>
      <c r="B5" s="14">
        <v>171</v>
      </c>
      <c r="C5" s="13"/>
      <c r="D5" s="13">
        <f t="shared" si="1"/>
        <v>-171</v>
      </c>
      <c r="E5" s="14">
        <v>89</v>
      </c>
      <c r="F5" s="14">
        <f t="shared" si="0"/>
        <v>-82</v>
      </c>
      <c r="G5" s="14">
        <v>141</v>
      </c>
      <c r="H5" s="13"/>
      <c r="I5" s="13">
        <f t="shared" si="2"/>
        <v>-141</v>
      </c>
      <c r="J5" s="14">
        <v>64</v>
      </c>
      <c r="K5" s="14">
        <f t="shared" si="3"/>
        <v>-77</v>
      </c>
      <c r="L5" s="14">
        <v>113</v>
      </c>
      <c r="M5" s="13"/>
      <c r="N5" s="13">
        <f t="shared" si="4"/>
        <v>-113</v>
      </c>
      <c r="O5" s="14">
        <v>75</v>
      </c>
      <c r="P5" s="13">
        <f t="shared" si="5"/>
        <v>-38</v>
      </c>
    </row>
    <row r="6" spans="1:16">
      <c r="A6" s="13" t="s">
        <v>74</v>
      </c>
      <c r="B6" s="14">
        <v>61</v>
      </c>
      <c r="C6" s="13"/>
      <c r="D6" s="13">
        <f t="shared" si="1"/>
        <v>-61</v>
      </c>
      <c r="E6" s="14">
        <v>8</v>
      </c>
      <c r="F6" s="14">
        <f t="shared" si="0"/>
        <v>-53</v>
      </c>
      <c r="G6" s="14">
        <v>43</v>
      </c>
      <c r="H6" s="13"/>
      <c r="I6" s="13">
        <f t="shared" si="2"/>
        <v>-43</v>
      </c>
      <c r="J6" s="14">
        <v>2</v>
      </c>
      <c r="K6" s="14">
        <f t="shared" si="3"/>
        <v>-41</v>
      </c>
      <c r="L6" s="14">
        <v>82</v>
      </c>
      <c r="M6" s="13"/>
      <c r="N6" s="13">
        <f t="shared" si="4"/>
        <v>-82</v>
      </c>
      <c r="O6" s="14">
        <v>12</v>
      </c>
      <c r="P6" s="13">
        <f t="shared" si="5"/>
        <v>-70</v>
      </c>
    </row>
    <row r="7" spans="1:16">
      <c r="A7" s="13" t="s">
        <v>90</v>
      </c>
      <c r="B7" s="14">
        <v>74</v>
      </c>
      <c r="C7" s="13"/>
      <c r="D7" s="13">
        <f t="shared" si="1"/>
        <v>-74</v>
      </c>
      <c r="E7" s="14">
        <v>15</v>
      </c>
      <c r="F7" s="14">
        <f t="shared" si="0"/>
        <v>-59</v>
      </c>
      <c r="G7" s="14">
        <v>35</v>
      </c>
      <c r="H7" s="13"/>
      <c r="I7" s="13">
        <f t="shared" si="2"/>
        <v>-35</v>
      </c>
      <c r="J7" s="14">
        <v>11</v>
      </c>
      <c r="K7" s="14">
        <f t="shared" si="3"/>
        <v>-24</v>
      </c>
      <c r="L7" s="14">
        <v>88</v>
      </c>
      <c r="M7" s="13"/>
      <c r="N7" s="13">
        <f t="shared" si="4"/>
        <v>-88</v>
      </c>
      <c r="O7" s="14">
        <v>29</v>
      </c>
      <c r="P7" s="13">
        <f t="shared" si="5"/>
        <v>-59</v>
      </c>
    </row>
    <row r="8" spans="1:16">
      <c r="A8" s="13" t="s">
        <v>91</v>
      </c>
      <c r="B8" s="14">
        <v>94</v>
      </c>
      <c r="C8" s="13"/>
      <c r="D8" s="13">
        <f t="shared" si="1"/>
        <v>-94</v>
      </c>
      <c r="E8" s="14">
        <v>40</v>
      </c>
      <c r="F8" s="14">
        <f t="shared" si="0"/>
        <v>-54</v>
      </c>
      <c r="G8" s="14">
        <v>40</v>
      </c>
      <c r="H8" s="13"/>
      <c r="I8" s="13">
        <f t="shared" si="2"/>
        <v>-40</v>
      </c>
      <c r="J8" s="14">
        <v>16</v>
      </c>
      <c r="K8" s="14">
        <f t="shared" si="3"/>
        <v>-24</v>
      </c>
      <c r="L8" s="14">
        <v>96</v>
      </c>
      <c r="M8" s="13"/>
      <c r="N8" s="13">
        <f t="shared" si="4"/>
        <v>-96</v>
      </c>
      <c r="O8" s="14">
        <v>43</v>
      </c>
      <c r="P8" s="13">
        <f t="shared" si="5"/>
        <v>-53</v>
      </c>
    </row>
    <row r="9" spans="1:16">
      <c r="A9" s="13" t="s">
        <v>76</v>
      </c>
      <c r="B9" s="14">
        <v>286</v>
      </c>
      <c r="C9" s="13"/>
      <c r="D9" s="13">
        <f t="shared" si="1"/>
        <v>-286</v>
      </c>
      <c r="E9" s="14">
        <v>67</v>
      </c>
      <c r="F9" s="14">
        <f t="shared" si="0"/>
        <v>-219</v>
      </c>
      <c r="G9" s="14">
        <v>212</v>
      </c>
      <c r="H9" s="13"/>
      <c r="I9" s="13">
        <f t="shared" si="2"/>
        <v>-212</v>
      </c>
      <c r="J9" s="14">
        <v>54</v>
      </c>
      <c r="K9" s="14">
        <f t="shared" si="3"/>
        <v>-158</v>
      </c>
      <c r="L9" s="14">
        <v>291</v>
      </c>
      <c r="M9" s="13"/>
      <c r="N9" s="13">
        <f t="shared" si="4"/>
        <v>-291</v>
      </c>
      <c r="O9" s="14">
        <v>66</v>
      </c>
      <c r="P9" s="13">
        <f t="shared" si="5"/>
        <v>-225</v>
      </c>
    </row>
    <row r="10" spans="1:16">
      <c r="A10" s="13" t="s">
        <v>77</v>
      </c>
      <c r="B10" s="14">
        <v>656</v>
      </c>
      <c r="C10" s="13"/>
      <c r="D10" s="13">
        <f t="shared" si="1"/>
        <v>-656</v>
      </c>
      <c r="E10" s="14">
        <v>183</v>
      </c>
      <c r="F10" s="14">
        <f t="shared" si="0"/>
        <v>-473</v>
      </c>
      <c r="G10" s="14">
        <v>238</v>
      </c>
      <c r="H10" s="13"/>
      <c r="I10" s="13">
        <f t="shared" si="2"/>
        <v>-238</v>
      </c>
      <c r="J10" s="14">
        <v>83</v>
      </c>
      <c r="K10" s="14">
        <f t="shared" si="3"/>
        <v>-155</v>
      </c>
      <c r="L10" s="14">
        <v>360</v>
      </c>
      <c r="M10" s="13"/>
      <c r="N10" s="13">
        <f t="shared" si="4"/>
        <v>-360</v>
      </c>
      <c r="O10" s="14">
        <v>112</v>
      </c>
      <c r="P10" s="13">
        <f t="shared" si="5"/>
        <v>-248</v>
      </c>
    </row>
    <row r="11" spans="1:16">
      <c r="A11" s="13" t="s">
        <v>78</v>
      </c>
      <c r="B11" s="14">
        <v>46</v>
      </c>
      <c r="C11" s="13"/>
      <c r="D11" s="13">
        <f t="shared" si="1"/>
        <v>-46</v>
      </c>
      <c r="E11" s="14">
        <v>10</v>
      </c>
      <c r="F11" s="14">
        <f t="shared" si="0"/>
        <v>-36</v>
      </c>
      <c r="G11" s="14">
        <v>35</v>
      </c>
      <c r="H11" s="13"/>
      <c r="I11" s="13">
        <f t="shared" si="2"/>
        <v>-35</v>
      </c>
      <c r="J11" s="14">
        <v>8</v>
      </c>
      <c r="K11" s="14">
        <f t="shared" si="3"/>
        <v>-27</v>
      </c>
      <c r="L11" s="14">
        <v>66</v>
      </c>
      <c r="M11" s="13"/>
      <c r="N11" s="13">
        <f t="shared" si="4"/>
        <v>-66</v>
      </c>
      <c r="O11" s="14">
        <v>10</v>
      </c>
      <c r="P11" s="13">
        <f t="shared" si="5"/>
        <v>-56</v>
      </c>
    </row>
    <row r="12" spans="1:16">
      <c r="A12" s="13" t="s">
        <v>92</v>
      </c>
      <c r="B12" s="14">
        <v>74</v>
      </c>
      <c r="C12" s="13"/>
      <c r="D12" s="13">
        <f t="shared" si="1"/>
        <v>-74</v>
      </c>
      <c r="E12" s="14">
        <v>18</v>
      </c>
      <c r="F12" s="14">
        <f t="shared" si="0"/>
        <v>-56</v>
      </c>
      <c r="G12" s="14">
        <v>33</v>
      </c>
      <c r="H12" s="13"/>
      <c r="I12" s="13">
        <f t="shared" si="2"/>
        <v>-33</v>
      </c>
      <c r="J12" s="14">
        <v>11</v>
      </c>
      <c r="K12" s="14">
        <f t="shared" si="3"/>
        <v>-22</v>
      </c>
      <c r="L12" s="14">
        <v>75</v>
      </c>
      <c r="M12" s="13"/>
      <c r="N12" s="13">
        <f t="shared" si="4"/>
        <v>-75</v>
      </c>
      <c r="O12" s="14">
        <v>18</v>
      </c>
      <c r="P12" s="13">
        <f t="shared" si="5"/>
        <v>-57</v>
      </c>
    </row>
    <row r="13" spans="1:16">
      <c r="A13" s="13" t="s">
        <v>80</v>
      </c>
      <c r="B13" s="14">
        <v>110</v>
      </c>
      <c r="C13" s="13"/>
      <c r="D13" s="13">
        <f t="shared" si="1"/>
        <v>-110</v>
      </c>
      <c r="E13" s="14">
        <v>37</v>
      </c>
      <c r="F13" s="14">
        <f t="shared" si="0"/>
        <v>-73</v>
      </c>
      <c r="G13" s="14">
        <v>54</v>
      </c>
      <c r="H13" s="13"/>
      <c r="I13" s="13">
        <f t="shared" si="2"/>
        <v>-54</v>
      </c>
      <c r="J13" s="14">
        <v>20</v>
      </c>
      <c r="K13" s="14">
        <f t="shared" si="3"/>
        <v>-34</v>
      </c>
      <c r="L13" s="14">
        <v>106</v>
      </c>
      <c r="M13" s="13"/>
      <c r="N13" s="13">
        <f t="shared" si="4"/>
        <v>-106</v>
      </c>
      <c r="O13" s="14">
        <v>34</v>
      </c>
      <c r="P13" s="13">
        <f t="shared" si="5"/>
        <v>-72</v>
      </c>
    </row>
    <row r="14" spans="1:16">
      <c r="A14" s="13" t="s">
        <v>81</v>
      </c>
      <c r="B14" s="14">
        <v>52</v>
      </c>
      <c r="C14" s="13"/>
      <c r="D14" s="13">
        <f t="shared" si="1"/>
        <v>-52</v>
      </c>
      <c r="E14" s="14">
        <v>0</v>
      </c>
      <c r="F14" s="14">
        <f t="shared" si="0"/>
        <v>-52</v>
      </c>
      <c r="G14" s="14">
        <v>19</v>
      </c>
      <c r="H14" s="13"/>
      <c r="I14" s="13">
        <f t="shared" si="2"/>
        <v>-19</v>
      </c>
      <c r="J14" s="14">
        <v>0</v>
      </c>
      <c r="K14" s="14">
        <f t="shared" si="3"/>
        <v>-19</v>
      </c>
      <c r="L14" s="14">
        <v>42</v>
      </c>
      <c r="M14" s="13"/>
      <c r="N14" s="13">
        <f t="shared" si="4"/>
        <v>-42</v>
      </c>
      <c r="O14" s="14">
        <v>0</v>
      </c>
      <c r="P14" s="13">
        <f t="shared" si="5"/>
        <v>-42</v>
      </c>
    </row>
    <row r="15" spans="1:16">
      <c r="A15" s="13" t="s">
        <v>82</v>
      </c>
      <c r="B15" s="14">
        <v>58</v>
      </c>
      <c r="C15" s="13"/>
      <c r="D15" s="13">
        <f t="shared" si="1"/>
        <v>-58</v>
      </c>
      <c r="E15" s="14">
        <v>2</v>
      </c>
      <c r="F15" s="14">
        <f t="shared" si="0"/>
        <v>-56</v>
      </c>
      <c r="G15" s="14">
        <v>29</v>
      </c>
      <c r="H15" s="13"/>
      <c r="I15" s="13">
        <f t="shared" si="2"/>
        <v>-29</v>
      </c>
      <c r="J15" s="14">
        <v>1</v>
      </c>
      <c r="K15" s="14">
        <f t="shared" si="3"/>
        <v>-28</v>
      </c>
      <c r="L15" s="14">
        <v>63</v>
      </c>
      <c r="M15" s="13"/>
      <c r="N15" s="13">
        <f t="shared" si="4"/>
        <v>-63</v>
      </c>
      <c r="O15" s="14">
        <v>2</v>
      </c>
      <c r="P15" s="13">
        <f t="shared" si="5"/>
        <v>-61</v>
      </c>
    </row>
    <row r="16" spans="1:16">
      <c r="A16" s="13" t="s">
        <v>83</v>
      </c>
      <c r="B16" s="14">
        <v>89</v>
      </c>
      <c r="C16" s="13"/>
      <c r="D16" s="13">
        <f t="shared" si="1"/>
        <v>-89</v>
      </c>
      <c r="E16" s="14">
        <v>12</v>
      </c>
      <c r="F16" s="14">
        <f t="shared" si="0"/>
        <v>-77</v>
      </c>
      <c r="G16" s="14">
        <v>48</v>
      </c>
      <c r="H16" s="13"/>
      <c r="I16" s="13">
        <f t="shared" si="2"/>
        <v>-48</v>
      </c>
      <c r="J16" s="14">
        <v>6</v>
      </c>
      <c r="K16" s="14">
        <f t="shared" si="3"/>
        <v>-42</v>
      </c>
      <c r="L16" s="14">
        <v>82</v>
      </c>
      <c r="M16" s="13"/>
      <c r="N16" s="13">
        <f t="shared" si="4"/>
        <v>-82</v>
      </c>
      <c r="O16" s="14">
        <v>9</v>
      </c>
      <c r="P16" s="13">
        <f t="shared" si="5"/>
        <v>-73</v>
      </c>
    </row>
    <row r="17" spans="1:1">
      <c r="A17" s="16" t="s">
        <v>108</v>
      </c>
    </row>
  </sheetData>
  <conditionalFormatting sqref="D1:D1048576 F1:F1048576 I1:I1048576 K1:K1048576 N1:N1048576 P1:P1048576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7013-510D-4650-8AB9-AD2F5E39F674}">
  <dimension ref="A1:P17"/>
  <sheetViews>
    <sheetView zoomScale="175" zoomScaleNormal="175" workbookViewId="0">
      <selection activeCell="K19" sqref="K19"/>
    </sheetView>
  </sheetViews>
  <sheetFormatPr defaultRowHeight="14.6"/>
  <cols>
    <col min="1" max="1" width="12" bestFit="1" customWidth="1"/>
    <col min="2" max="2" width="6.69140625" bestFit="1" customWidth="1"/>
    <col min="3" max="3" width="9.69140625" bestFit="1" customWidth="1"/>
    <col min="4" max="4" width="3.3828125" bestFit="1" customWidth="1"/>
    <col min="5" max="5" width="4.3046875" bestFit="1" customWidth="1"/>
    <col min="6" max="6" width="4" bestFit="1" customWidth="1"/>
    <col min="7" max="7" width="6.69140625" bestFit="1" customWidth="1"/>
    <col min="8" max="8" width="9.69140625" bestFit="1" customWidth="1"/>
    <col min="9" max="9" width="3.4609375" bestFit="1" customWidth="1"/>
    <col min="10" max="10" width="4.3046875" bestFit="1" customWidth="1"/>
    <col min="11" max="11" width="4" bestFit="1" customWidth="1"/>
    <col min="12" max="12" width="6.69140625" bestFit="1" customWidth="1"/>
    <col min="13" max="13" width="6.921875" customWidth="1"/>
    <col min="14" max="14" width="4.07421875" customWidth="1"/>
    <col min="15" max="15" width="4.23046875" customWidth="1"/>
    <col min="16" max="16" width="4.3828125" bestFit="1" customWidth="1"/>
  </cols>
  <sheetData>
    <row r="1" spans="1:16">
      <c r="A1" s="11"/>
      <c r="B1" s="12" t="s">
        <v>84</v>
      </c>
      <c r="E1" s="12"/>
      <c r="F1" s="12"/>
      <c r="G1" s="12" t="s">
        <v>85</v>
      </c>
      <c r="J1" s="12"/>
      <c r="K1" s="12"/>
      <c r="L1" s="12" t="s">
        <v>86</v>
      </c>
      <c r="O1" s="11"/>
    </row>
    <row r="2" spans="1:16">
      <c r="A2" s="15" t="s">
        <v>87</v>
      </c>
      <c r="B2" s="15" t="s">
        <v>88</v>
      </c>
      <c r="C2" s="15" t="s">
        <v>2</v>
      </c>
      <c r="D2" s="15"/>
      <c r="E2" s="15" t="s">
        <v>125</v>
      </c>
      <c r="F2" s="15"/>
      <c r="G2" s="15" t="s">
        <v>88</v>
      </c>
      <c r="H2" s="15" t="str">
        <f>C2</f>
        <v>Jdeodorant</v>
      </c>
      <c r="I2" s="15"/>
      <c r="J2" s="15" t="s">
        <v>125</v>
      </c>
      <c r="K2" s="15"/>
      <c r="L2" s="15" t="s">
        <v>88</v>
      </c>
      <c r="M2" s="15" t="str">
        <f>C2</f>
        <v>Jdeodorant</v>
      </c>
      <c r="N2" s="15"/>
      <c r="O2" s="15" t="s">
        <v>125</v>
      </c>
      <c r="P2" s="15"/>
    </row>
    <row r="3" spans="1:16">
      <c r="A3" t="s">
        <v>71</v>
      </c>
      <c r="B3" s="14">
        <v>89</v>
      </c>
      <c r="C3">
        <v>90</v>
      </c>
      <c r="D3" s="13">
        <f>C3-B3</f>
        <v>1</v>
      </c>
      <c r="E3" s="14">
        <v>52</v>
      </c>
      <c r="F3" s="14">
        <f t="shared" ref="F3:F16" si="0">E3-B3</f>
        <v>-37</v>
      </c>
      <c r="G3" s="14">
        <v>56</v>
      </c>
      <c r="H3">
        <v>56</v>
      </c>
      <c r="I3" s="13">
        <f>H3-G3</f>
        <v>0</v>
      </c>
      <c r="J3" s="14">
        <v>41</v>
      </c>
      <c r="K3" s="14">
        <f>J3-G3</f>
        <v>-15</v>
      </c>
      <c r="L3" s="14">
        <v>58</v>
      </c>
      <c r="M3">
        <v>58</v>
      </c>
      <c r="N3" s="13">
        <f>M3-L3</f>
        <v>0</v>
      </c>
      <c r="O3" s="14">
        <v>37</v>
      </c>
      <c r="P3" s="13">
        <f>O3-L3</f>
        <v>-21</v>
      </c>
    </row>
    <row r="4" spans="1:16">
      <c r="A4" t="s">
        <v>72</v>
      </c>
      <c r="B4" s="14">
        <v>122</v>
      </c>
      <c r="C4">
        <v>122</v>
      </c>
      <c r="D4" s="13">
        <f t="shared" ref="D4:D16" si="1">C4-B4</f>
        <v>0</v>
      </c>
      <c r="E4" s="14">
        <v>76</v>
      </c>
      <c r="F4" s="14">
        <f t="shared" si="0"/>
        <v>-46</v>
      </c>
      <c r="G4" s="14">
        <v>80</v>
      </c>
      <c r="H4">
        <v>80</v>
      </c>
      <c r="I4" s="13">
        <f t="shared" ref="I4:I16" si="2">H4-G4</f>
        <v>0</v>
      </c>
      <c r="J4" s="14">
        <v>55</v>
      </c>
      <c r="K4" s="14">
        <f t="shared" ref="K4:K16" si="3">J4-G4</f>
        <v>-25</v>
      </c>
      <c r="L4" s="14">
        <v>119</v>
      </c>
      <c r="M4">
        <v>119</v>
      </c>
      <c r="N4" s="13">
        <f t="shared" ref="N4:N16" si="4">M4-L4</f>
        <v>0</v>
      </c>
      <c r="O4" s="14">
        <v>68</v>
      </c>
      <c r="P4" s="13">
        <f t="shared" ref="P4:P16" si="5">O4-L4</f>
        <v>-51</v>
      </c>
    </row>
    <row r="5" spans="1:16">
      <c r="A5" t="s">
        <v>73</v>
      </c>
      <c r="B5" s="14">
        <v>171</v>
      </c>
      <c r="C5">
        <v>171</v>
      </c>
      <c r="D5" s="13">
        <f t="shared" si="1"/>
        <v>0</v>
      </c>
      <c r="E5" s="14">
        <v>89</v>
      </c>
      <c r="F5" s="14">
        <f t="shared" si="0"/>
        <v>-82</v>
      </c>
      <c r="G5" s="14">
        <v>141</v>
      </c>
      <c r="H5">
        <v>112</v>
      </c>
      <c r="I5" s="13">
        <f t="shared" si="2"/>
        <v>-29</v>
      </c>
      <c r="J5" s="14">
        <v>64</v>
      </c>
      <c r="K5" s="14">
        <f t="shared" si="3"/>
        <v>-77</v>
      </c>
      <c r="L5" s="14">
        <v>113</v>
      </c>
      <c r="M5">
        <v>141</v>
      </c>
      <c r="N5" s="13">
        <f t="shared" si="4"/>
        <v>28</v>
      </c>
      <c r="O5" s="14">
        <v>75</v>
      </c>
      <c r="P5" s="13">
        <f t="shared" si="5"/>
        <v>-38</v>
      </c>
    </row>
    <row r="6" spans="1:16">
      <c r="A6" t="s">
        <v>74</v>
      </c>
      <c r="B6" s="14">
        <v>61</v>
      </c>
      <c r="C6">
        <v>61</v>
      </c>
      <c r="D6" s="13">
        <f t="shared" si="1"/>
        <v>0</v>
      </c>
      <c r="E6" s="14">
        <v>8</v>
      </c>
      <c r="F6" s="14">
        <f t="shared" si="0"/>
        <v>-53</v>
      </c>
      <c r="G6" s="14">
        <v>43</v>
      </c>
      <c r="H6">
        <v>42</v>
      </c>
      <c r="I6" s="13">
        <f t="shared" si="2"/>
        <v>-1</v>
      </c>
      <c r="J6" s="14">
        <v>2</v>
      </c>
      <c r="K6" s="14">
        <f t="shared" si="3"/>
        <v>-41</v>
      </c>
      <c r="L6" s="14">
        <v>82</v>
      </c>
      <c r="M6">
        <v>82</v>
      </c>
      <c r="N6" s="13">
        <f t="shared" si="4"/>
        <v>0</v>
      </c>
      <c r="O6" s="14">
        <v>12</v>
      </c>
      <c r="P6" s="13">
        <f t="shared" si="5"/>
        <v>-70</v>
      </c>
    </row>
    <row r="7" spans="1:16">
      <c r="A7" t="s">
        <v>75</v>
      </c>
      <c r="B7" s="14">
        <v>74</v>
      </c>
      <c r="C7">
        <v>73</v>
      </c>
      <c r="D7" s="13">
        <f t="shared" si="1"/>
        <v>-1</v>
      </c>
      <c r="E7" s="14">
        <v>15</v>
      </c>
      <c r="F7" s="14">
        <f t="shared" si="0"/>
        <v>-59</v>
      </c>
      <c r="G7" s="14">
        <v>35</v>
      </c>
      <c r="H7">
        <v>34</v>
      </c>
      <c r="I7" s="13">
        <f t="shared" si="2"/>
        <v>-1</v>
      </c>
      <c r="J7" s="14">
        <v>11</v>
      </c>
      <c r="K7" s="14">
        <f t="shared" si="3"/>
        <v>-24</v>
      </c>
      <c r="L7" s="14">
        <v>88</v>
      </c>
      <c r="M7">
        <v>88</v>
      </c>
      <c r="N7" s="13">
        <f t="shared" si="4"/>
        <v>0</v>
      </c>
      <c r="O7" s="14">
        <v>29</v>
      </c>
      <c r="P7" s="13">
        <f t="shared" si="5"/>
        <v>-59</v>
      </c>
    </row>
    <row r="8" spans="1:16">
      <c r="A8" t="s">
        <v>95</v>
      </c>
      <c r="B8" s="14">
        <v>94</v>
      </c>
      <c r="C8">
        <v>95</v>
      </c>
      <c r="D8" s="13">
        <f t="shared" si="1"/>
        <v>1</v>
      </c>
      <c r="E8" s="14">
        <v>40</v>
      </c>
      <c r="F8" s="14">
        <f t="shared" si="0"/>
        <v>-54</v>
      </c>
      <c r="G8" s="14">
        <v>40</v>
      </c>
      <c r="H8">
        <v>40</v>
      </c>
      <c r="I8" s="13">
        <f t="shared" si="2"/>
        <v>0</v>
      </c>
      <c r="J8" s="14">
        <v>16</v>
      </c>
      <c r="K8" s="14">
        <f t="shared" si="3"/>
        <v>-24</v>
      </c>
      <c r="L8" s="14">
        <v>96</v>
      </c>
      <c r="M8">
        <v>96</v>
      </c>
      <c r="N8" s="13">
        <f t="shared" si="4"/>
        <v>0</v>
      </c>
      <c r="O8" s="14">
        <v>43</v>
      </c>
      <c r="P8" s="13">
        <f t="shared" si="5"/>
        <v>-53</v>
      </c>
    </row>
    <row r="9" spans="1:16">
      <c r="A9" t="s">
        <v>76</v>
      </c>
      <c r="B9" s="14">
        <v>286</v>
      </c>
      <c r="C9">
        <v>283</v>
      </c>
      <c r="D9" s="13">
        <f t="shared" si="1"/>
        <v>-3</v>
      </c>
      <c r="E9" s="14">
        <v>67</v>
      </c>
      <c r="F9" s="14">
        <f t="shared" si="0"/>
        <v>-219</v>
      </c>
      <c r="G9" s="14">
        <v>212</v>
      </c>
      <c r="H9">
        <v>212</v>
      </c>
      <c r="I9" s="13">
        <f t="shared" si="2"/>
        <v>0</v>
      </c>
      <c r="J9" s="14">
        <v>54</v>
      </c>
      <c r="K9" s="14">
        <f t="shared" si="3"/>
        <v>-158</v>
      </c>
      <c r="L9" s="14">
        <v>291</v>
      </c>
      <c r="M9">
        <v>290</v>
      </c>
      <c r="N9" s="13">
        <f t="shared" si="4"/>
        <v>-1</v>
      </c>
      <c r="O9" s="14">
        <v>66</v>
      </c>
      <c r="P9" s="13">
        <f t="shared" si="5"/>
        <v>-225</v>
      </c>
    </row>
    <row r="10" spans="1:16">
      <c r="A10" t="s">
        <v>77</v>
      </c>
      <c r="B10" s="14">
        <v>656</v>
      </c>
      <c r="C10">
        <v>656</v>
      </c>
      <c r="D10" s="13">
        <f t="shared" si="1"/>
        <v>0</v>
      </c>
      <c r="E10" s="14">
        <v>183</v>
      </c>
      <c r="F10" s="14">
        <f t="shared" si="0"/>
        <v>-473</v>
      </c>
      <c r="G10" s="14">
        <v>238</v>
      </c>
      <c r="H10">
        <v>239</v>
      </c>
      <c r="I10" s="13">
        <f t="shared" si="2"/>
        <v>1</v>
      </c>
      <c r="J10" s="14">
        <v>83</v>
      </c>
      <c r="K10" s="14">
        <f t="shared" si="3"/>
        <v>-155</v>
      </c>
      <c r="L10" s="14">
        <v>360</v>
      </c>
      <c r="M10">
        <v>360</v>
      </c>
      <c r="N10" s="13">
        <f t="shared" si="4"/>
        <v>0</v>
      </c>
      <c r="O10" s="14">
        <v>112</v>
      </c>
      <c r="P10" s="13">
        <f t="shared" si="5"/>
        <v>-248</v>
      </c>
    </row>
    <row r="11" spans="1:16">
      <c r="A11" t="s">
        <v>78</v>
      </c>
      <c r="B11" s="14">
        <v>46</v>
      </c>
      <c r="C11">
        <v>46</v>
      </c>
      <c r="D11" s="13">
        <f t="shared" si="1"/>
        <v>0</v>
      </c>
      <c r="E11" s="14">
        <v>10</v>
      </c>
      <c r="F11" s="14">
        <f t="shared" si="0"/>
        <v>-36</v>
      </c>
      <c r="G11" s="14">
        <v>35</v>
      </c>
      <c r="H11">
        <v>35</v>
      </c>
      <c r="I11" s="13">
        <f t="shared" si="2"/>
        <v>0</v>
      </c>
      <c r="J11" s="14">
        <v>8</v>
      </c>
      <c r="K11" s="14">
        <f t="shared" si="3"/>
        <v>-27</v>
      </c>
      <c r="L11" s="14">
        <v>66</v>
      </c>
      <c r="M11">
        <v>67</v>
      </c>
      <c r="N11" s="13">
        <f t="shared" si="4"/>
        <v>1</v>
      </c>
      <c r="O11" s="14">
        <v>10</v>
      </c>
      <c r="P11" s="13">
        <f t="shared" si="5"/>
        <v>-56</v>
      </c>
    </row>
    <row r="12" spans="1:16">
      <c r="A12" t="s">
        <v>79</v>
      </c>
      <c r="B12" s="14">
        <v>74</v>
      </c>
      <c r="C12">
        <v>74</v>
      </c>
      <c r="D12" s="13">
        <f t="shared" si="1"/>
        <v>0</v>
      </c>
      <c r="E12" s="14">
        <v>18</v>
      </c>
      <c r="F12" s="14">
        <f t="shared" si="0"/>
        <v>-56</v>
      </c>
      <c r="G12" s="14">
        <v>33</v>
      </c>
      <c r="H12">
        <v>34</v>
      </c>
      <c r="I12" s="13">
        <f t="shared" si="2"/>
        <v>1</v>
      </c>
      <c r="J12" s="14">
        <v>11</v>
      </c>
      <c r="K12" s="14">
        <f t="shared" si="3"/>
        <v>-22</v>
      </c>
      <c r="L12" s="14">
        <v>75</v>
      </c>
      <c r="M12">
        <v>75</v>
      </c>
      <c r="N12" s="13">
        <f t="shared" si="4"/>
        <v>0</v>
      </c>
      <c r="O12" s="14">
        <v>18</v>
      </c>
      <c r="P12" s="13">
        <f t="shared" si="5"/>
        <v>-57</v>
      </c>
    </row>
    <row r="13" spans="1:16">
      <c r="A13" t="s">
        <v>80</v>
      </c>
      <c r="B13" s="14">
        <v>110</v>
      </c>
      <c r="C13">
        <v>110</v>
      </c>
      <c r="D13" s="13">
        <f t="shared" si="1"/>
        <v>0</v>
      </c>
      <c r="E13" s="14">
        <v>37</v>
      </c>
      <c r="F13" s="14">
        <f t="shared" si="0"/>
        <v>-73</v>
      </c>
      <c r="G13" s="14">
        <v>54</v>
      </c>
      <c r="H13">
        <v>54</v>
      </c>
      <c r="I13" s="13">
        <f t="shared" si="2"/>
        <v>0</v>
      </c>
      <c r="J13" s="14">
        <v>20</v>
      </c>
      <c r="K13" s="14">
        <f t="shared" si="3"/>
        <v>-34</v>
      </c>
      <c r="L13" s="14">
        <v>106</v>
      </c>
      <c r="M13">
        <v>106</v>
      </c>
      <c r="N13" s="13">
        <f t="shared" si="4"/>
        <v>0</v>
      </c>
      <c r="O13" s="14">
        <v>34</v>
      </c>
      <c r="P13" s="13">
        <f t="shared" si="5"/>
        <v>-72</v>
      </c>
    </row>
    <row r="14" spans="1:16">
      <c r="A14" t="s">
        <v>96</v>
      </c>
      <c r="B14" s="14">
        <v>52</v>
      </c>
      <c r="C14" s="14">
        <v>52</v>
      </c>
      <c r="D14" s="13">
        <f t="shared" si="1"/>
        <v>0</v>
      </c>
      <c r="E14" s="14">
        <v>0</v>
      </c>
      <c r="F14" s="14">
        <f t="shared" si="0"/>
        <v>-52</v>
      </c>
      <c r="G14" s="14">
        <v>19</v>
      </c>
      <c r="H14" s="14">
        <v>19</v>
      </c>
      <c r="I14" s="13">
        <f t="shared" si="2"/>
        <v>0</v>
      </c>
      <c r="J14" s="14">
        <v>0</v>
      </c>
      <c r="K14" s="14">
        <f t="shared" si="3"/>
        <v>-19</v>
      </c>
      <c r="L14" s="14">
        <v>42</v>
      </c>
      <c r="M14" s="14">
        <v>42</v>
      </c>
      <c r="N14" s="13">
        <f t="shared" si="4"/>
        <v>0</v>
      </c>
      <c r="O14" s="14">
        <v>0</v>
      </c>
      <c r="P14" s="13">
        <f t="shared" si="5"/>
        <v>-42</v>
      </c>
    </row>
    <row r="15" spans="1:16">
      <c r="A15" t="s">
        <v>82</v>
      </c>
      <c r="B15" s="14">
        <v>58</v>
      </c>
      <c r="C15">
        <v>58</v>
      </c>
      <c r="D15" s="13">
        <f t="shared" si="1"/>
        <v>0</v>
      </c>
      <c r="E15" s="14">
        <v>2</v>
      </c>
      <c r="F15" s="14">
        <f t="shared" si="0"/>
        <v>-56</v>
      </c>
      <c r="G15" s="14">
        <v>29</v>
      </c>
      <c r="H15">
        <v>29</v>
      </c>
      <c r="I15" s="13">
        <f t="shared" si="2"/>
        <v>0</v>
      </c>
      <c r="J15" s="14">
        <v>1</v>
      </c>
      <c r="K15" s="14">
        <f t="shared" si="3"/>
        <v>-28</v>
      </c>
      <c r="L15" s="14">
        <v>63</v>
      </c>
      <c r="M15">
        <v>63</v>
      </c>
      <c r="N15" s="13">
        <f t="shared" si="4"/>
        <v>0</v>
      </c>
      <c r="O15" s="14">
        <v>2</v>
      </c>
      <c r="P15" s="13">
        <f t="shared" si="5"/>
        <v>-61</v>
      </c>
    </row>
    <row r="16" spans="1:16">
      <c r="A16" t="s">
        <v>83</v>
      </c>
      <c r="B16" s="14">
        <v>89</v>
      </c>
      <c r="C16">
        <v>89</v>
      </c>
      <c r="D16" s="13">
        <f t="shared" si="1"/>
        <v>0</v>
      </c>
      <c r="E16" s="14">
        <v>12</v>
      </c>
      <c r="F16" s="14">
        <f t="shared" si="0"/>
        <v>-77</v>
      </c>
      <c r="G16" s="14">
        <v>48</v>
      </c>
      <c r="H16">
        <v>48</v>
      </c>
      <c r="I16" s="13">
        <f t="shared" si="2"/>
        <v>0</v>
      </c>
      <c r="J16" s="14">
        <v>6</v>
      </c>
      <c r="K16" s="14">
        <f t="shared" si="3"/>
        <v>-42</v>
      </c>
      <c r="L16" s="14">
        <v>82</v>
      </c>
      <c r="M16">
        <v>82</v>
      </c>
      <c r="N16" s="13">
        <f t="shared" si="4"/>
        <v>0</v>
      </c>
      <c r="O16" s="14">
        <v>9</v>
      </c>
      <c r="P16" s="13">
        <f t="shared" si="5"/>
        <v>-73</v>
      </c>
    </row>
    <row r="17" spans="1:1">
      <c r="A17" s="16" t="s">
        <v>108</v>
      </c>
    </row>
  </sheetData>
  <conditionalFormatting sqref="D1:D16 F1:F16 I1:I16 K1:K16 N1:N16 P1:P1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E80E-084D-420B-B5ED-392510D4F44C}">
  <dimension ref="A1:P17"/>
  <sheetViews>
    <sheetView zoomScale="175" zoomScaleNormal="175" workbookViewId="0">
      <selection activeCell="P12" sqref="P12"/>
    </sheetView>
  </sheetViews>
  <sheetFormatPr defaultRowHeight="14.6"/>
  <cols>
    <col min="1" max="1" width="12" bestFit="1" customWidth="1"/>
    <col min="2" max="2" width="6.69140625" bestFit="1" customWidth="1"/>
    <col min="3" max="3" width="5.84375" bestFit="1" customWidth="1"/>
    <col min="4" max="4" width="1.84375" bestFit="1" customWidth="1"/>
    <col min="5" max="5" width="2.53515625" bestFit="1" customWidth="1"/>
    <col min="6" max="6" width="3.15234375" bestFit="1" customWidth="1"/>
    <col min="7" max="7" width="6.69140625" bestFit="1" customWidth="1"/>
    <col min="8" max="8" width="5.84375" bestFit="1" customWidth="1"/>
    <col min="9" max="9" width="2.3828125" bestFit="1" customWidth="1"/>
    <col min="10" max="10" width="2.53515625" bestFit="1" customWidth="1"/>
    <col min="11" max="11" width="3.15234375" bestFit="1" customWidth="1"/>
    <col min="12" max="12" width="6.69140625" bestFit="1" customWidth="1"/>
    <col min="13" max="13" width="5.84375" bestFit="1" customWidth="1"/>
    <col min="14" max="14" width="1.84375" bestFit="1" customWidth="1"/>
    <col min="15" max="15" width="2.53515625" bestFit="1" customWidth="1"/>
    <col min="16" max="16" width="3.3828125" bestFit="1" customWidth="1"/>
  </cols>
  <sheetData>
    <row r="1" spans="1:16">
      <c r="A1" s="11"/>
      <c r="B1" s="12" t="s">
        <v>84</v>
      </c>
      <c r="E1" s="12"/>
      <c r="F1" s="12"/>
      <c r="G1" s="12" t="s">
        <v>85</v>
      </c>
      <c r="J1" s="12"/>
      <c r="K1" s="12"/>
      <c r="L1" s="12" t="s">
        <v>86</v>
      </c>
      <c r="O1" s="11"/>
    </row>
    <row r="2" spans="1:16">
      <c r="A2" s="15" t="s">
        <v>87</v>
      </c>
      <c r="B2" s="15" t="s">
        <v>88</v>
      </c>
      <c r="C2" s="15" t="s">
        <v>107</v>
      </c>
      <c r="D2" s="15"/>
      <c r="E2" s="15" t="s">
        <v>89</v>
      </c>
      <c r="F2" s="15"/>
      <c r="G2" s="15" t="s">
        <v>88</v>
      </c>
      <c r="H2" s="15" t="str">
        <f>C2</f>
        <v>Jmove</v>
      </c>
      <c r="I2" s="15"/>
      <c r="J2" s="15" t="s">
        <v>89</v>
      </c>
      <c r="K2" s="15"/>
      <c r="L2" s="15" t="s">
        <v>88</v>
      </c>
      <c r="M2" s="15" t="str">
        <f>C2</f>
        <v>Jmove</v>
      </c>
      <c r="N2" s="15"/>
      <c r="O2" s="15" t="s">
        <v>89</v>
      </c>
      <c r="P2" s="15"/>
    </row>
    <row r="3" spans="1:16">
      <c r="A3" t="s">
        <v>97</v>
      </c>
      <c r="B3" s="14"/>
      <c r="C3" s="13"/>
      <c r="D3" s="13"/>
      <c r="E3" s="14"/>
      <c r="F3" s="14"/>
      <c r="G3" s="14"/>
      <c r="H3" s="13"/>
      <c r="I3" s="13"/>
      <c r="J3" s="14"/>
      <c r="K3" s="14"/>
      <c r="L3" s="14"/>
      <c r="M3" s="13"/>
      <c r="N3" s="13"/>
      <c r="O3" s="14"/>
      <c r="P3" s="13"/>
    </row>
    <row r="4" spans="1:16">
      <c r="A4" t="s">
        <v>98</v>
      </c>
      <c r="B4" s="14"/>
      <c r="C4" s="13"/>
      <c r="D4" s="13"/>
      <c r="E4" s="14"/>
      <c r="F4" s="14"/>
      <c r="G4" s="14"/>
      <c r="H4" s="13"/>
      <c r="I4" s="13"/>
      <c r="J4" s="14"/>
      <c r="K4" s="14"/>
      <c r="L4" s="14"/>
      <c r="M4" s="13"/>
      <c r="N4" s="13"/>
      <c r="O4" s="14"/>
      <c r="P4" s="13"/>
    </row>
    <row r="5" spans="1:16">
      <c r="A5" t="s">
        <v>99</v>
      </c>
      <c r="B5" s="14"/>
      <c r="C5" s="13"/>
      <c r="D5" s="13"/>
      <c r="E5" s="14"/>
      <c r="F5" s="14"/>
      <c r="G5" s="14"/>
      <c r="H5" s="13"/>
      <c r="I5" s="13"/>
      <c r="J5" s="14"/>
      <c r="K5" s="14"/>
      <c r="L5" s="14"/>
      <c r="M5" s="13"/>
      <c r="N5" s="13"/>
      <c r="O5" s="14"/>
      <c r="P5" s="13"/>
    </row>
    <row r="6" spans="1:16">
      <c r="A6" t="s">
        <v>100</v>
      </c>
      <c r="B6" s="14"/>
      <c r="C6" s="13"/>
      <c r="D6" s="13"/>
      <c r="E6" s="14"/>
      <c r="F6" s="14"/>
      <c r="G6" s="14"/>
      <c r="H6" s="13"/>
      <c r="I6" s="13"/>
      <c r="J6" s="14"/>
      <c r="K6" s="14"/>
      <c r="L6" s="14"/>
      <c r="M6" s="13"/>
      <c r="N6" s="13"/>
      <c r="O6" s="14"/>
      <c r="P6" s="13"/>
    </row>
    <row r="7" spans="1:16">
      <c r="A7" t="s">
        <v>90</v>
      </c>
      <c r="B7" s="14"/>
      <c r="C7" s="13"/>
      <c r="D7" s="13"/>
      <c r="E7" s="14"/>
      <c r="F7" s="14"/>
      <c r="G7" s="14"/>
      <c r="H7" s="13"/>
      <c r="I7" s="13"/>
      <c r="J7" s="14"/>
      <c r="K7" s="14"/>
      <c r="L7" s="14"/>
      <c r="M7" s="13"/>
      <c r="N7" s="13"/>
      <c r="O7" s="14"/>
      <c r="P7" s="13"/>
    </row>
    <row r="8" spans="1:16">
      <c r="A8" t="s">
        <v>95</v>
      </c>
      <c r="B8" s="14">
        <v>94</v>
      </c>
      <c r="C8" s="13">
        <v>94</v>
      </c>
      <c r="D8" s="13">
        <f t="shared" ref="D8" si="0">C8-B8</f>
        <v>0</v>
      </c>
      <c r="E8" s="14">
        <v>40</v>
      </c>
      <c r="F8" s="14">
        <f t="shared" ref="F8" si="1">E8-B8</f>
        <v>-54</v>
      </c>
      <c r="G8" s="14">
        <v>40</v>
      </c>
      <c r="H8" s="13">
        <v>39</v>
      </c>
      <c r="I8" s="13">
        <f t="shared" ref="I8" si="2">H8-G8</f>
        <v>-1</v>
      </c>
      <c r="J8" s="14">
        <v>16</v>
      </c>
      <c r="K8" s="14">
        <f t="shared" ref="K8" si="3">J8-G8</f>
        <v>-24</v>
      </c>
      <c r="L8" s="14">
        <v>96</v>
      </c>
      <c r="M8" s="13">
        <v>100</v>
      </c>
      <c r="N8" s="13">
        <f t="shared" ref="N8" si="4">M8-L8</f>
        <v>4</v>
      </c>
      <c r="O8" s="14">
        <v>43</v>
      </c>
      <c r="P8" s="13">
        <f t="shared" ref="P8" si="5">O8-L8</f>
        <v>-53</v>
      </c>
    </row>
    <row r="9" spans="1:16">
      <c r="A9" t="s">
        <v>101</v>
      </c>
      <c r="B9" s="14"/>
      <c r="C9" s="13"/>
      <c r="D9" s="13"/>
      <c r="E9" s="14"/>
      <c r="F9" s="14"/>
      <c r="G9" s="14"/>
      <c r="H9" s="13"/>
      <c r="I9" s="13"/>
      <c r="J9" s="14"/>
      <c r="K9" s="14"/>
      <c r="L9" s="14"/>
      <c r="M9" s="13"/>
      <c r="N9" s="13"/>
      <c r="O9" s="14"/>
      <c r="P9" s="13"/>
    </row>
    <row r="10" spans="1:16">
      <c r="A10" t="s">
        <v>102</v>
      </c>
      <c r="B10" s="14"/>
      <c r="C10" s="13"/>
      <c r="D10" s="13"/>
      <c r="E10" s="14"/>
      <c r="F10" s="14"/>
      <c r="G10" s="14"/>
      <c r="H10" s="13"/>
      <c r="I10" s="13"/>
      <c r="J10" s="14"/>
      <c r="K10" s="14"/>
      <c r="L10" s="14"/>
      <c r="M10" s="13"/>
      <c r="N10" s="13"/>
      <c r="O10" s="14"/>
      <c r="P10" s="13"/>
    </row>
    <row r="11" spans="1:16">
      <c r="A11" t="s">
        <v>103</v>
      </c>
      <c r="B11" s="14"/>
      <c r="C11" s="13"/>
      <c r="D11" s="13"/>
      <c r="E11" s="14"/>
      <c r="F11" s="14"/>
      <c r="G11" s="14"/>
      <c r="H11" s="13"/>
      <c r="I11" s="13"/>
      <c r="J11" s="14"/>
      <c r="K11" s="14"/>
      <c r="L11" s="14"/>
      <c r="M11" s="13"/>
      <c r="N11" s="13"/>
      <c r="O11" s="14"/>
      <c r="P11" s="13"/>
    </row>
    <row r="12" spans="1:16">
      <c r="A12" t="s">
        <v>92</v>
      </c>
      <c r="B12" s="14"/>
      <c r="C12" s="13"/>
      <c r="D12" s="13"/>
      <c r="E12" s="14"/>
      <c r="F12" s="14"/>
      <c r="G12" s="14"/>
      <c r="H12" s="13"/>
      <c r="I12" s="13"/>
      <c r="J12" s="14"/>
      <c r="K12" s="14"/>
      <c r="L12" s="14"/>
      <c r="M12" s="13"/>
      <c r="N12" s="13"/>
      <c r="O12" s="14"/>
      <c r="P12" s="13"/>
    </row>
    <row r="13" spans="1:16">
      <c r="A13" t="s">
        <v>104</v>
      </c>
      <c r="B13" s="14"/>
      <c r="C13" s="13"/>
      <c r="D13" s="13"/>
      <c r="E13" s="14"/>
      <c r="F13" s="14"/>
      <c r="G13" s="14"/>
      <c r="H13" s="13"/>
      <c r="I13" s="13"/>
      <c r="J13" s="14"/>
      <c r="K13" s="14"/>
      <c r="L13" s="14"/>
      <c r="M13" s="13"/>
      <c r="N13" s="13"/>
      <c r="O13" s="14"/>
      <c r="P13" s="13"/>
    </row>
    <row r="14" spans="1:16">
      <c r="A14" t="s">
        <v>96</v>
      </c>
      <c r="B14" s="14"/>
      <c r="C14" s="13"/>
      <c r="D14" s="13"/>
      <c r="E14" s="14"/>
      <c r="F14" s="14"/>
      <c r="G14" s="14"/>
      <c r="H14" s="13"/>
      <c r="I14" s="13"/>
      <c r="J14" s="14"/>
      <c r="K14" s="14"/>
      <c r="L14" s="14"/>
      <c r="M14" s="13"/>
      <c r="N14" s="13"/>
      <c r="O14" s="14"/>
      <c r="P14" s="13"/>
    </row>
    <row r="15" spans="1:16">
      <c r="A15" t="s">
        <v>105</v>
      </c>
      <c r="B15" s="14"/>
      <c r="C15" s="13"/>
      <c r="D15" s="13"/>
      <c r="E15" s="14"/>
      <c r="F15" s="14"/>
      <c r="G15" s="14"/>
      <c r="H15" s="13"/>
      <c r="I15" s="13"/>
      <c r="J15" s="14"/>
      <c r="K15" s="14"/>
      <c r="L15" s="14"/>
      <c r="M15" s="13"/>
      <c r="N15" s="13"/>
      <c r="O15" s="14"/>
      <c r="P15" s="13"/>
    </row>
    <row r="16" spans="1:16">
      <c r="A16" t="s">
        <v>106</v>
      </c>
      <c r="B16" s="14"/>
      <c r="C16" s="13"/>
      <c r="D16" s="13"/>
      <c r="E16" s="14"/>
      <c r="F16" s="14"/>
      <c r="G16" s="14"/>
      <c r="H16" s="13"/>
      <c r="I16" s="13"/>
      <c r="J16" s="14"/>
      <c r="K16" s="14"/>
      <c r="L16" s="14"/>
      <c r="M16" s="13"/>
      <c r="N16" s="13"/>
      <c r="O16" s="14"/>
      <c r="P16" s="13"/>
    </row>
    <row r="17" spans="1:1">
      <c r="A17" s="16" t="s">
        <v>108</v>
      </c>
    </row>
  </sheetData>
  <conditionalFormatting sqref="D1:D16 F1:F16 I1:I16 K1:K16 N1:N16 P1:P1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9848-E702-46D4-95E0-5F78F285DAF4}">
  <dimension ref="A1:P17"/>
  <sheetViews>
    <sheetView tabSelected="1" zoomScale="250" zoomScaleNormal="250" workbookViewId="0">
      <selection activeCell="L17" sqref="L17"/>
    </sheetView>
  </sheetViews>
  <sheetFormatPr defaultRowHeight="14.6"/>
  <cols>
    <col min="1" max="1" width="11" bestFit="1" customWidth="1"/>
    <col min="2" max="2" width="6.84375" bestFit="1" customWidth="1"/>
    <col min="3" max="3" width="9.3828125" bestFit="1" customWidth="1"/>
    <col min="4" max="4" width="2.3828125" bestFit="1" customWidth="1"/>
    <col min="5" max="5" width="4.3046875" bestFit="1" customWidth="1"/>
    <col min="6" max="6" width="4" bestFit="1" customWidth="1"/>
    <col min="7" max="7" width="6.84375" bestFit="1" customWidth="1"/>
    <col min="8" max="8" width="9.3828125" bestFit="1" customWidth="1"/>
    <col min="9" max="9" width="3.3828125" bestFit="1" customWidth="1"/>
    <col min="10" max="10" width="4.3046875" bestFit="1" customWidth="1"/>
    <col min="11" max="11" width="4" bestFit="1" customWidth="1"/>
    <col min="12" max="12" width="6.84375" bestFit="1" customWidth="1"/>
    <col min="13" max="13" width="9.3828125" bestFit="1" customWidth="1"/>
    <col min="14" max="14" width="2.84375" bestFit="1" customWidth="1"/>
    <col min="15" max="15" width="4.3046875" bestFit="1" customWidth="1"/>
    <col min="16" max="16" width="4.3828125" bestFit="1" customWidth="1"/>
  </cols>
  <sheetData>
    <row r="1" spans="1:16">
      <c r="A1" s="11"/>
      <c r="B1" s="12" t="s">
        <v>84</v>
      </c>
      <c r="E1" s="12"/>
      <c r="F1" s="12"/>
      <c r="G1" s="12" t="s">
        <v>85</v>
      </c>
      <c r="J1" s="12"/>
      <c r="K1" s="12"/>
      <c r="L1" s="12" t="s">
        <v>86</v>
      </c>
      <c r="O1" s="11"/>
    </row>
    <row r="2" spans="1:16">
      <c r="A2" s="15" t="s">
        <v>87</v>
      </c>
      <c r="B2" s="15" t="s">
        <v>88</v>
      </c>
      <c r="C2" s="15" t="s">
        <v>93</v>
      </c>
      <c r="D2" s="15"/>
      <c r="E2" s="15" t="s">
        <v>125</v>
      </c>
      <c r="F2" s="15"/>
      <c r="G2" s="15" t="s">
        <v>88</v>
      </c>
      <c r="H2" s="15" t="s">
        <v>93</v>
      </c>
      <c r="I2" s="15"/>
      <c r="J2" s="15" t="s">
        <v>125</v>
      </c>
      <c r="K2" s="15"/>
      <c r="L2" s="15" t="s">
        <v>88</v>
      </c>
      <c r="M2" s="15" t="s">
        <v>93</v>
      </c>
      <c r="N2" s="15"/>
      <c r="O2" s="15" t="s">
        <v>125</v>
      </c>
      <c r="P2" s="15"/>
    </row>
    <row r="3" spans="1:16">
      <c r="A3" s="13" t="s">
        <v>71</v>
      </c>
      <c r="B3" s="14">
        <v>89</v>
      </c>
      <c r="C3">
        <v>90</v>
      </c>
      <c r="D3" s="13">
        <f>C3-B3</f>
        <v>1</v>
      </c>
      <c r="E3" s="14">
        <v>52</v>
      </c>
      <c r="F3" s="14">
        <f t="shared" ref="F3:F16" si="0">E3-B3</f>
        <v>-37</v>
      </c>
      <c r="G3" s="14">
        <v>56</v>
      </c>
      <c r="H3">
        <v>55</v>
      </c>
      <c r="I3" s="13">
        <f>H3-G3</f>
        <v>-1</v>
      </c>
      <c r="J3" s="14">
        <v>41</v>
      </c>
      <c r="K3" s="14">
        <f>J3-G3</f>
        <v>-15</v>
      </c>
      <c r="L3" s="14">
        <v>58</v>
      </c>
      <c r="M3">
        <v>59</v>
      </c>
      <c r="N3" s="13">
        <f>M3-L3</f>
        <v>1</v>
      </c>
      <c r="O3" s="14">
        <v>37</v>
      </c>
      <c r="P3" s="13">
        <f>O3-L3</f>
        <v>-21</v>
      </c>
    </row>
    <row r="4" spans="1:16">
      <c r="A4" s="13" t="s">
        <v>72</v>
      </c>
      <c r="B4" s="14">
        <v>122</v>
      </c>
      <c r="C4">
        <v>123</v>
      </c>
      <c r="D4" s="13">
        <f t="shared" ref="D4:D16" si="1">C4-B4</f>
        <v>1</v>
      </c>
      <c r="E4" s="14">
        <v>76</v>
      </c>
      <c r="F4" s="14">
        <f t="shared" si="0"/>
        <v>-46</v>
      </c>
      <c r="G4" s="14">
        <v>80</v>
      </c>
      <c r="H4">
        <v>80</v>
      </c>
      <c r="I4" s="13">
        <f t="shared" ref="I4:I16" si="2">H4-G4</f>
        <v>0</v>
      </c>
      <c r="J4" s="14">
        <v>55</v>
      </c>
      <c r="K4" s="14">
        <f t="shared" ref="K4:K16" si="3">J4-G4</f>
        <v>-25</v>
      </c>
      <c r="L4" s="14">
        <v>119</v>
      </c>
      <c r="M4">
        <v>119</v>
      </c>
      <c r="N4" s="13">
        <f t="shared" ref="N4:N16" si="4">M4-L4</f>
        <v>0</v>
      </c>
      <c r="O4" s="14">
        <v>68</v>
      </c>
      <c r="P4" s="13">
        <f t="shared" ref="P4:P16" si="5">O4-L4</f>
        <v>-51</v>
      </c>
    </row>
    <row r="5" spans="1:16">
      <c r="A5" s="13" t="s">
        <v>73</v>
      </c>
      <c r="B5" s="14">
        <v>171</v>
      </c>
      <c r="C5">
        <v>171</v>
      </c>
      <c r="D5" s="13">
        <f t="shared" si="1"/>
        <v>0</v>
      </c>
      <c r="E5" s="14">
        <v>89</v>
      </c>
      <c r="F5" s="14">
        <f t="shared" si="0"/>
        <v>-82</v>
      </c>
      <c r="G5" s="14">
        <v>141</v>
      </c>
      <c r="H5">
        <v>113</v>
      </c>
      <c r="I5" s="13">
        <f t="shared" si="2"/>
        <v>-28</v>
      </c>
      <c r="J5" s="14">
        <v>64</v>
      </c>
      <c r="K5" s="14">
        <f t="shared" si="3"/>
        <v>-77</v>
      </c>
      <c r="L5" s="14">
        <v>113</v>
      </c>
      <c r="M5">
        <v>142</v>
      </c>
      <c r="N5" s="13">
        <f t="shared" si="4"/>
        <v>29</v>
      </c>
      <c r="O5" s="14">
        <v>75</v>
      </c>
      <c r="P5" s="13">
        <f t="shared" si="5"/>
        <v>-38</v>
      </c>
    </row>
    <row r="6" spans="1:16">
      <c r="A6" s="13" t="s">
        <v>74</v>
      </c>
      <c r="B6" s="14">
        <v>61</v>
      </c>
      <c r="C6">
        <v>60</v>
      </c>
      <c r="D6" s="13">
        <f t="shared" si="1"/>
        <v>-1</v>
      </c>
      <c r="E6" s="14">
        <v>8</v>
      </c>
      <c r="F6" s="14">
        <f t="shared" si="0"/>
        <v>-53</v>
      </c>
      <c r="G6" s="14">
        <v>43</v>
      </c>
      <c r="H6">
        <v>43</v>
      </c>
      <c r="I6" s="13">
        <f t="shared" si="2"/>
        <v>0</v>
      </c>
      <c r="J6" s="14">
        <v>2</v>
      </c>
      <c r="K6" s="14">
        <f t="shared" si="3"/>
        <v>-41</v>
      </c>
      <c r="L6" s="14">
        <v>82</v>
      </c>
      <c r="M6">
        <v>81</v>
      </c>
      <c r="N6" s="13">
        <f t="shared" si="4"/>
        <v>-1</v>
      </c>
      <c r="O6" s="14">
        <v>12</v>
      </c>
      <c r="P6" s="13">
        <f t="shared" si="5"/>
        <v>-70</v>
      </c>
    </row>
    <row r="7" spans="1:16">
      <c r="A7" s="13" t="s">
        <v>90</v>
      </c>
      <c r="B7" s="14">
        <v>74</v>
      </c>
      <c r="C7" s="14">
        <v>74</v>
      </c>
      <c r="D7" s="13">
        <f t="shared" si="1"/>
        <v>0</v>
      </c>
      <c r="E7" s="14">
        <v>15</v>
      </c>
      <c r="F7" s="14">
        <f t="shared" si="0"/>
        <v>-59</v>
      </c>
      <c r="G7" s="14">
        <v>35</v>
      </c>
      <c r="H7" s="14">
        <v>35</v>
      </c>
      <c r="I7" s="13">
        <f t="shared" si="2"/>
        <v>0</v>
      </c>
      <c r="J7" s="14">
        <v>11</v>
      </c>
      <c r="K7" s="14">
        <f t="shared" si="3"/>
        <v>-24</v>
      </c>
      <c r="L7" s="14">
        <v>88</v>
      </c>
      <c r="M7" s="14">
        <v>88</v>
      </c>
      <c r="N7" s="13">
        <f t="shared" si="4"/>
        <v>0</v>
      </c>
      <c r="O7" s="14">
        <v>29</v>
      </c>
      <c r="P7" s="13">
        <f t="shared" si="5"/>
        <v>-59</v>
      </c>
    </row>
    <row r="8" spans="1:16">
      <c r="A8" s="13" t="s">
        <v>91</v>
      </c>
      <c r="B8" s="14">
        <v>94</v>
      </c>
      <c r="C8" s="14">
        <v>94</v>
      </c>
      <c r="D8" s="13">
        <f t="shared" si="1"/>
        <v>0</v>
      </c>
      <c r="E8" s="14">
        <v>40</v>
      </c>
      <c r="F8" s="14">
        <f t="shared" si="0"/>
        <v>-54</v>
      </c>
      <c r="G8" s="14">
        <v>40</v>
      </c>
      <c r="H8" s="14">
        <v>40</v>
      </c>
      <c r="I8" s="13">
        <f t="shared" si="2"/>
        <v>0</v>
      </c>
      <c r="J8" s="14">
        <v>16</v>
      </c>
      <c r="K8" s="14">
        <f t="shared" si="3"/>
        <v>-24</v>
      </c>
      <c r="L8" s="14">
        <v>96</v>
      </c>
      <c r="M8" s="14">
        <v>96</v>
      </c>
      <c r="N8" s="13">
        <f t="shared" si="4"/>
        <v>0</v>
      </c>
      <c r="O8" s="14">
        <v>43</v>
      </c>
      <c r="P8" s="13">
        <f t="shared" si="5"/>
        <v>-53</v>
      </c>
    </row>
    <row r="9" spans="1:16">
      <c r="A9" s="13" t="s">
        <v>76</v>
      </c>
      <c r="B9" s="14">
        <v>286</v>
      </c>
      <c r="C9">
        <v>283</v>
      </c>
      <c r="D9" s="13">
        <f t="shared" si="1"/>
        <v>-3</v>
      </c>
      <c r="E9" s="14">
        <v>67</v>
      </c>
      <c r="F9" s="14">
        <f t="shared" si="0"/>
        <v>-219</v>
      </c>
      <c r="G9" s="14">
        <v>212</v>
      </c>
      <c r="H9">
        <v>211</v>
      </c>
      <c r="I9" s="13">
        <f t="shared" si="2"/>
        <v>-1</v>
      </c>
      <c r="J9" s="14">
        <v>54</v>
      </c>
      <c r="K9" s="14">
        <f t="shared" si="3"/>
        <v>-158</v>
      </c>
      <c r="L9" s="14">
        <v>291</v>
      </c>
      <c r="M9">
        <v>287</v>
      </c>
      <c r="N9" s="13">
        <f t="shared" si="4"/>
        <v>-4</v>
      </c>
      <c r="O9" s="14">
        <v>66</v>
      </c>
      <c r="P9" s="13">
        <f t="shared" si="5"/>
        <v>-225</v>
      </c>
    </row>
    <row r="10" spans="1:16">
      <c r="A10" s="13" t="s">
        <v>77</v>
      </c>
      <c r="B10" s="14">
        <v>656</v>
      </c>
      <c r="C10">
        <v>656</v>
      </c>
      <c r="D10" s="13">
        <f t="shared" si="1"/>
        <v>0</v>
      </c>
      <c r="E10" s="14">
        <v>183</v>
      </c>
      <c r="F10" s="14">
        <f t="shared" si="0"/>
        <v>-473</v>
      </c>
      <c r="G10" s="14">
        <v>238</v>
      </c>
      <c r="H10">
        <v>240</v>
      </c>
      <c r="I10" s="13">
        <f t="shared" si="2"/>
        <v>2</v>
      </c>
      <c r="J10" s="14">
        <v>83</v>
      </c>
      <c r="K10" s="14">
        <f t="shared" si="3"/>
        <v>-155</v>
      </c>
      <c r="L10" s="14">
        <v>360</v>
      </c>
      <c r="M10">
        <v>358</v>
      </c>
      <c r="N10" s="13">
        <f t="shared" si="4"/>
        <v>-2</v>
      </c>
      <c r="O10" s="14">
        <v>112</v>
      </c>
      <c r="P10" s="13">
        <f t="shared" si="5"/>
        <v>-248</v>
      </c>
    </row>
    <row r="11" spans="1:16">
      <c r="A11" s="13" t="s">
        <v>78</v>
      </c>
      <c r="B11" s="14">
        <v>46</v>
      </c>
      <c r="C11">
        <v>47</v>
      </c>
      <c r="D11" s="13">
        <f t="shared" si="1"/>
        <v>1</v>
      </c>
      <c r="E11" s="14">
        <v>10</v>
      </c>
      <c r="F11" s="14">
        <f t="shared" si="0"/>
        <v>-36</v>
      </c>
      <c r="G11" s="14">
        <v>35</v>
      </c>
      <c r="H11">
        <v>35</v>
      </c>
      <c r="I11" s="13">
        <f t="shared" si="2"/>
        <v>0</v>
      </c>
      <c r="J11" s="14">
        <v>8</v>
      </c>
      <c r="K11" s="14">
        <f t="shared" si="3"/>
        <v>-27</v>
      </c>
      <c r="L11" s="14">
        <v>66</v>
      </c>
      <c r="M11">
        <v>66</v>
      </c>
      <c r="N11" s="13">
        <f t="shared" si="4"/>
        <v>0</v>
      </c>
      <c r="O11" s="14">
        <v>10</v>
      </c>
      <c r="P11" s="13">
        <f t="shared" si="5"/>
        <v>-56</v>
      </c>
    </row>
    <row r="12" spans="1:16">
      <c r="A12" s="13" t="s">
        <v>92</v>
      </c>
      <c r="B12" s="14">
        <v>74</v>
      </c>
      <c r="C12" s="14">
        <v>74</v>
      </c>
      <c r="D12" s="13">
        <f t="shared" si="1"/>
        <v>0</v>
      </c>
      <c r="E12" s="14">
        <v>18</v>
      </c>
      <c r="F12" s="14">
        <f t="shared" si="0"/>
        <v>-56</v>
      </c>
      <c r="G12" s="14">
        <v>33</v>
      </c>
      <c r="H12" s="14">
        <v>33</v>
      </c>
      <c r="I12" s="13">
        <f t="shared" si="2"/>
        <v>0</v>
      </c>
      <c r="J12" s="14">
        <v>11</v>
      </c>
      <c r="K12" s="14">
        <f t="shared" si="3"/>
        <v>-22</v>
      </c>
      <c r="L12" s="14">
        <v>75</v>
      </c>
      <c r="M12" s="14">
        <v>75</v>
      </c>
      <c r="N12" s="13">
        <f t="shared" si="4"/>
        <v>0</v>
      </c>
      <c r="O12" s="14">
        <v>18</v>
      </c>
      <c r="P12" s="13">
        <f t="shared" si="5"/>
        <v>-57</v>
      </c>
    </row>
    <row r="13" spans="1:16">
      <c r="A13" s="13" t="s">
        <v>80</v>
      </c>
      <c r="B13" s="14">
        <v>110</v>
      </c>
      <c r="C13">
        <v>110</v>
      </c>
      <c r="D13" s="13">
        <f t="shared" si="1"/>
        <v>0</v>
      </c>
      <c r="E13" s="14">
        <v>37</v>
      </c>
      <c r="F13" s="14">
        <f t="shared" si="0"/>
        <v>-73</v>
      </c>
      <c r="G13" s="14">
        <v>54</v>
      </c>
      <c r="H13">
        <v>54</v>
      </c>
      <c r="I13" s="13">
        <f t="shared" si="2"/>
        <v>0</v>
      </c>
      <c r="J13" s="14">
        <v>20</v>
      </c>
      <c r="K13" s="14">
        <f t="shared" si="3"/>
        <v>-34</v>
      </c>
      <c r="L13" s="14">
        <v>106</v>
      </c>
      <c r="M13">
        <v>105</v>
      </c>
      <c r="N13" s="13">
        <f t="shared" si="4"/>
        <v>-1</v>
      </c>
      <c r="O13" s="14">
        <v>34</v>
      </c>
      <c r="P13" s="13">
        <f t="shared" si="5"/>
        <v>-72</v>
      </c>
    </row>
    <row r="14" spans="1:16">
      <c r="A14" s="13" t="s">
        <v>81</v>
      </c>
      <c r="B14" s="14">
        <v>52</v>
      </c>
      <c r="C14">
        <v>52</v>
      </c>
      <c r="D14" s="13">
        <f t="shared" si="1"/>
        <v>0</v>
      </c>
      <c r="E14" s="14">
        <v>0</v>
      </c>
      <c r="F14" s="14">
        <f t="shared" si="0"/>
        <v>-52</v>
      </c>
      <c r="G14" s="14">
        <v>19</v>
      </c>
      <c r="H14">
        <v>19</v>
      </c>
      <c r="I14" s="13">
        <f t="shared" si="2"/>
        <v>0</v>
      </c>
      <c r="J14" s="14">
        <v>0</v>
      </c>
      <c r="K14" s="14">
        <f t="shared" si="3"/>
        <v>-19</v>
      </c>
      <c r="L14" s="14">
        <v>42</v>
      </c>
      <c r="M14">
        <v>42</v>
      </c>
      <c r="N14" s="13">
        <f t="shared" si="4"/>
        <v>0</v>
      </c>
      <c r="O14" s="14">
        <v>0</v>
      </c>
      <c r="P14" s="13">
        <f t="shared" si="5"/>
        <v>-42</v>
      </c>
    </row>
    <row r="15" spans="1:16">
      <c r="A15" s="13" t="s">
        <v>82</v>
      </c>
      <c r="B15" s="14">
        <v>58</v>
      </c>
      <c r="C15">
        <v>56</v>
      </c>
      <c r="D15" s="13">
        <f t="shared" si="1"/>
        <v>-2</v>
      </c>
      <c r="E15" s="14">
        <v>2</v>
      </c>
      <c r="F15" s="14">
        <f t="shared" si="0"/>
        <v>-56</v>
      </c>
      <c r="G15" s="14">
        <v>29</v>
      </c>
      <c r="H15">
        <v>29</v>
      </c>
      <c r="I15" s="13">
        <f t="shared" si="2"/>
        <v>0</v>
      </c>
      <c r="J15" s="14">
        <v>1</v>
      </c>
      <c r="K15" s="14">
        <f t="shared" si="3"/>
        <v>-28</v>
      </c>
      <c r="L15" s="14">
        <v>63</v>
      </c>
      <c r="M15">
        <v>62</v>
      </c>
      <c r="N15" s="13">
        <f t="shared" si="4"/>
        <v>-1</v>
      </c>
      <c r="O15" s="14">
        <v>2</v>
      </c>
      <c r="P15" s="13">
        <f t="shared" si="5"/>
        <v>-61</v>
      </c>
    </row>
    <row r="16" spans="1:16">
      <c r="A16" s="13" t="s">
        <v>83</v>
      </c>
      <c r="B16" s="14">
        <v>89</v>
      </c>
      <c r="C16">
        <v>89</v>
      </c>
      <c r="D16" s="13">
        <f t="shared" si="1"/>
        <v>0</v>
      </c>
      <c r="E16" s="14">
        <v>12</v>
      </c>
      <c r="F16" s="14">
        <f t="shared" si="0"/>
        <v>-77</v>
      </c>
      <c r="G16" s="14">
        <v>48</v>
      </c>
      <c r="H16">
        <v>48</v>
      </c>
      <c r="I16" s="13">
        <f t="shared" si="2"/>
        <v>0</v>
      </c>
      <c r="J16" s="14">
        <v>6</v>
      </c>
      <c r="K16" s="14">
        <f t="shared" si="3"/>
        <v>-42</v>
      </c>
      <c r="L16" s="14">
        <v>82</v>
      </c>
      <c r="M16">
        <v>81</v>
      </c>
      <c r="N16" s="13">
        <f t="shared" si="4"/>
        <v>-1</v>
      </c>
      <c r="O16" s="14">
        <v>9</v>
      </c>
      <c r="P16" s="13">
        <f t="shared" si="5"/>
        <v>-73</v>
      </c>
    </row>
    <row r="17" spans="1:1">
      <c r="A17" s="16" t="s">
        <v>108</v>
      </c>
    </row>
  </sheetData>
  <conditionalFormatting sqref="D1:D16 F1:F16 I1:I16 K1:K16 N1:N16 P1:P1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19D1-7066-49A7-A532-EB7647F237B9}">
  <dimension ref="A1:P17"/>
  <sheetViews>
    <sheetView zoomScale="175" zoomScaleNormal="175" workbookViewId="0">
      <selection activeCell="G3" sqref="G3"/>
    </sheetView>
  </sheetViews>
  <sheetFormatPr defaultRowHeight="14.6"/>
  <cols>
    <col min="1" max="1" width="12.23046875" customWidth="1"/>
    <col min="2" max="2" width="6.765625" bestFit="1" customWidth="1"/>
    <col min="3" max="3" width="6.61328125" bestFit="1" customWidth="1"/>
    <col min="4" max="4" width="4.23046875" customWidth="1"/>
    <col min="5" max="5" width="4.3046875" bestFit="1" customWidth="1"/>
    <col min="6" max="6" width="4" bestFit="1" customWidth="1"/>
    <col min="7" max="7" width="6.765625" bestFit="1" customWidth="1"/>
    <col min="9" max="9" width="3.4609375" bestFit="1" customWidth="1"/>
    <col min="10" max="10" width="4.3046875" bestFit="1" customWidth="1"/>
    <col min="11" max="11" width="4" bestFit="1" customWidth="1"/>
    <col min="12" max="12" width="6.765625" bestFit="1" customWidth="1"/>
    <col min="13" max="13" width="6.61328125" bestFit="1" customWidth="1"/>
    <col min="14" max="14" width="2.84375" bestFit="1" customWidth="1"/>
    <col min="15" max="15" width="4.3046875" bestFit="1" customWidth="1"/>
    <col min="16" max="16" width="4.4609375" bestFit="1" customWidth="1"/>
  </cols>
  <sheetData>
    <row r="1" spans="1:16">
      <c r="A1" s="11"/>
      <c r="B1" s="12" t="s">
        <v>84</v>
      </c>
      <c r="E1" s="12"/>
      <c r="F1" s="12"/>
      <c r="G1" s="12" t="s">
        <v>85</v>
      </c>
      <c r="J1" s="12"/>
      <c r="K1" s="12"/>
      <c r="L1" s="12" t="s">
        <v>86</v>
      </c>
      <c r="O1" s="11"/>
    </row>
    <row r="2" spans="1:16">
      <c r="A2" s="15" t="s">
        <v>87</v>
      </c>
      <c r="B2" s="15" t="s">
        <v>88</v>
      </c>
      <c r="C2" s="15" t="s">
        <v>126</v>
      </c>
      <c r="D2" s="15"/>
      <c r="E2" s="15" t="s">
        <v>125</v>
      </c>
      <c r="F2" s="15"/>
      <c r="G2" s="15" t="s">
        <v>88</v>
      </c>
      <c r="H2" s="15" t="str">
        <f>C2</f>
        <v>Hmove</v>
      </c>
      <c r="I2" s="15"/>
      <c r="J2" s="15" t="s">
        <v>125</v>
      </c>
      <c r="K2" s="15"/>
      <c r="L2" s="15" t="s">
        <v>88</v>
      </c>
      <c r="M2" s="15" t="str">
        <f>C2</f>
        <v>Hmove</v>
      </c>
      <c r="N2" s="15"/>
      <c r="O2" s="15" t="s">
        <v>125</v>
      </c>
      <c r="P2" s="15"/>
    </row>
    <row r="3" spans="1:16">
      <c r="A3" s="13" t="s">
        <v>71</v>
      </c>
      <c r="B3" s="14">
        <v>89</v>
      </c>
      <c r="C3">
        <v>89</v>
      </c>
      <c r="D3" s="13">
        <f>C3-B3</f>
        <v>0</v>
      </c>
      <c r="E3" s="14">
        <v>52</v>
      </c>
      <c r="F3" s="14">
        <f t="shared" ref="F3:F16" si="0">E3-B3</f>
        <v>-37</v>
      </c>
      <c r="G3" s="14">
        <v>56</v>
      </c>
      <c r="H3">
        <v>59</v>
      </c>
      <c r="I3" s="13">
        <f>H3-G3</f>
        <v>3</v>
      </c>
      <c r="J3" s="14">
        <v>41</v>
      </c>
      <c r="K3" s="14">
        <f>J3-G3</f>
        <v>-15</v>
      </c>
      <c r="L3" s="14">
        <v>58</v>
      </c>
      <c r="M3">
        <v>58</v>
      </c>
      <c r="N3" s="13">
        <f>M3-L3</f>
        <v>0</v>
      </c>
      <c r="O3" s="14">
        <v>37</v>
      </c>
      <c r="P3" s="13">
        <f>O3-L3</f>
        <v>-21</v>
      </c>
    </row>
    <row r="4" spans="1:16">
      <c r="A4" s="13" t="s">
        <v>72</v>
      </c>
      <c r="B4" s="14">
        <v>122</v>
      </c>
      <c r="C4">
        <v>120</v>
      </c>
      <c r="D4" s="13">
        <f t="shared" ref="D4:D16" si="1">C4-B4</f>
        <v>-2</v>
      </c>
      <c r="E4" s="14">
        <v>76</v>
      </c>
      <c r="F4" s="14">
        <f t="shared" si="0"/>
        <v>-46</v>
      </c>
      <c r="G4" s="14">
        <v>80</v>
      </c>
      <c r="H4">
        <v>80</v>
      </c>
      <c r="I4" s="13">
        <f t="shared" ref="I4:I16" si="2">H4-G4</f>
        <v>0</v>
      </c>
      <c r="J4" s="14">
        <v>55</v>
      </c>
      <c r="K4" s="14">
        <f t="shared" ref="K4:K16" si="3">J4-G4</f>
        <v>-25</v>
      </c>
      <c r="L4" s="14">
        <v>119</v>
      </c>
      <c r="M4">
        <v>119</v>
      </c>
      <c r="N4" s="13">
        <f t="shared" ref="N4:N16" si="4">M4-L4</f>
        <v>0</v>
      </c>
      <c r="O4" s="14">
        <v>68</v>
      </c>
      <c r="P4" s="13">
        <f t="shared" ref="P4:P16" si="5">O4-L4</f>
        <v>-51</v>
      </c>
    </row>
    <row r="5" spans="1:16">
      <c r="A5" s="13" t="s">
        <v>73</v>
      </c>
      <c r="B5" s="14">
        <v>171</v>
      </c>
      <c r="C5">
        <v>170</v>
      </c>
      <c r="D5" s="13">
        <f t="shared" si="1"/>
        <v>-1</v>
      </c>
      <c r="E5" s="14">
        <v>89</v>
      </c>
      <c r="F5" s="14">
        <f t="shared" si="0"/>
        <v>-82</v>
      </c>
      <c r="G5" s="14">
        <v>141</v>
      </c>
      <c r="H5">
        <v>113</v>
      </c>
      <c r="I5" s="13">
        <f t="shared" si="2"/>
        <v>-28</v>
      </c>
      <c r="J5" s="14">
        <v>64</v>
      </c>
      <c r="K5" s="14">
        <f t="shared" si="3"/>
        <v>-77</v>
      </c>
      <c r="L5" s="14">
        <v>113</v>
      </c>
      <c r="M5">
        <v>142</v>
      </c>
      <c r="N5" s="13">
        <f t="shared" si="4"/>
        <v>29</v>
      </c>
      <c r="O5" s="14">
        <v>75</v>
      </c>
      <c r="P5" s="13">
        <f t="shared" si="5"/>
        <v>-38</v>
      </c>
    </row>
    <row r="6" spans="1:16">
      <c r="A6" s="13" t="s">
        <v>74</v>
      </c>
      <c r="B6" s="14">
        <v>61</v>
      </c>
      <c r="C6">
        <v>63</v>
      </c>
      <c r="D6" s="13">
        <f t="shared" si="1"/>
        <v>2</v>
      </c>
      <c r="E6" s="14">
        <v>8</v>
      </c>
      <c r="F6" s="14">
        <f t="shared" si="0"/>
        <v>-53</v>
      </c>
      <c r="G6" s="14">
        <v>43</v>
      </c>
      <c r="H6">
        <v>45</v>
      </c>
      <c r="I6" s="13">
        <f t="shared" si="2"/>
        <v>2</v>
      </c>
      <c r="J6" s="14">
        <v>2</v>
      </c>
      <c r="K6" s="14">
        <f t="shared" si="3"/>
        <v>-41</v>
      </c>
      <c r="L6" s="14">
        <v>82</v>
      </c>
      <c r="M6">
        <v>82</v>
      </c>
      <c r="N6" s="13">
        <f t="shared" si="4"/>
        <v>0</v>
      </c>
      <c r="O6" s="14">
        <v>12</v>
      </c>
      <c r="P6" s="13">
        <f t="shared" si="5"/>
        <v>-70</v>
      </c>
    </row>
    <row r="7" spans="1:16">
      <c r="A7" s="13" t="s">
        <v>90</v>
      </c>
      <c r="B7" s="14">
        <v>74</v>
      </c>
      <c r="C7">
        <v>75</v>
      </c>
      <c r="D7" s="13">
        <f t="shared" si="1"/>
        <v>1</v>
      </c>
      <c r="E7" s="14">
        <v>15</v>
      </c>
      <c r="F7" s="14">
        <f t="shared" si="0"/>
        <v>-59</v>
      </c>
      <c r="G7" s="14">
        <v>35</v>
      </c>
      <c r="H7">
        <v>37</v>
      </c>
      <c r="I7" s="13">
        <f t="shared" si="2"/>
        <v>2</v>
      </c>
      <c r="J7" s="14">
        <v>11</v>
      </c>
      <c r="K7" s="14">
        <f t="shared" si="3"/>
        <v>-24</v>
      </c>
      <c r="L7" s="14">
        <v>88</v>
      </c>
      <c r="M7">
        <v>89</v>
      </c>
      <c r="N7" s="13">
        <f t="shared" si="4"/>
        <v>1</v>
      </c>
      <c r="O7" s="14">
        <v>29</v>
      </c>
      <c r="P7" s="13">
        <f t="shared" si="5"/>
        <v>-59</v>
      </c>
    </row>
    <row r="8" spans="1:16">
      <c r="A8" s="13" t="s">
        <v>91</v>
      </c>
      <c r="B8" s="14">
        <v>94</v>
      </c>
      <c r="C8">
        <v>94</v>
      </c>
      <c r="D8" s="13">
        <f t="shared" si="1"/>
        <v>0</v>
      </c>
      <c r="E8" s="14">
        <v>40</v>
      </c>
      <c r="F8" s="14">
        <f t="shared" si="0"/>
        <v>-54</v>
      </c>
      <c r="G8" s="14">
        <v>40</v>
      </c>
      <c r="H8">
        <v>41</v>
      </c>
      <c r="I8" s="13">
        <f t="shared" si="2"/>
        <v>1</v>
      </c>
      <c r="J8" s="14">
        <v>16</v>
      </c>
      <c r="K8" s="14">
        <f t="shared" si="3"/>
        <v>-24</v>
      </c>
      <c r="L8" s="14">
        <v>96</v>
      </c>
      <c r="M8">
        <v>94</v>
      </c>
      <c r="N8" s="13">
        <f t="shared" si="4"/>
        <v>-2</v>
      </c>
      <c r="O8" s="14">
        <v>43</v>
      </c>
      <c r="P8" s="13">
        <f t="shared" si="5"/>
        <v>-53</v>
      </c>
    </row>
    <row r="9" spans="1:16">
      <c r="A9" s="13" t="s">
        <v>76</v>
      </c>
      <c r="B9" s="14">
        <v>286</v>
      </c>
      <c r="C9">
        <v>285</v>
      </c>
      <c r="D9" s="13">
        <f t="shared" si="1"/>
        <v>-1</v>
      </c>
      <c r="E9" s="14">
        <v>67</v>
      </c>
      <c r="F9" s="14">
        <f t="shared" si="0"/>
        <v>-219</v>
      </c>
      <c r="G9" s="14">
        <v>212</v>
      </c>
      <c r="H9">
        <v>213</v>
      </c>
      <c r="I9" s="13">
        <f t="shared" si="2"/>
        <v>1</v>
      </c>
      <c r="J9" s="14">
        <v>54</v>
      </c>
      <c r="K9" s="14">
        <f t="shared" si="3"/>
        <v>-158</v>
      </c>
      <c r="L9" s="14">
        <v>291</v>
      </c>
      <c r="M9">
        <v>295</v>
      </c>
      <c r="N9" s="13">
        <f t="shared" si="4"/>
        <v>4</v>
      </c>
      <c r="O9" s="14">
        <v>66</v>
      </c>
      <c r="P9" s="13">
        <f t="shared" si="5"/>
        <v>-225</v>
      </c>
    </row>
    <row r="10" spans="1:16">
      <c r="A10" s="13" t="s">
        <v>77</v>
      </c>
      <c r="B10" s="14">
        <v>656</v>
      </c>
      <c r="C10">
        <v>657</v>
      </c>
      <c r="D10" s="13">
        <f t="shared" si="1"/>
        <v>1</v>
      </c>
      <c r="E10" s="14">
        <v>183</v>
      </c>
      <c r="F10" s="14">
        <f t="shared" si="0"/>
        <v>-473</v>
      </c>
      <c r="G10" s="14">
        <v>238</v>
      </c>
      <c r="H10">
        <v>241</v>
      </c>
      <c r="I10" s="13">
        <f t="shared" si="2"/>
        <v>3</v>
      </c>
      <c r="J10" s="14">
        <v>83</v>
      </c>
      <c r="K10" s="14">
        <f t="shared" si="3"/>
        <v>-155</v>
      </c>
      <c r="L10" s="14">
        <v>360</v>
      </c>
      <c r="M10">
        <v>362</v>
      </c>
      <c r="N10" s="13">
        <f t="shared" si="4"/>
        <v>2</v>
      </c>
      <c r="O10" s="14">
        <v>112</v>
      </c>
      <c r="P10" s="13">
        <f t="shared" si="5"/>
        <v>-248</v>
      </c>
    </row>
    <row r="11" spans="1:16">
      <c r="A11" s="13" t="s">
        <v>78</v>
      </c>
      <c r="B11" s="14">
        <v>46</v>
      </c>
      <c r="C11">
        <v>46</v>
      </c>
      <c r="D11" s="13">
        <f t="shared" si="1"/>
        <v>0</v>
      </c>
      <c r="E11" s="14">
        <v>10</v>
      </c>
      <c r="F11" s="14">
        <f t="shared" si="0"/>
        <v>-36</v>
      </c>
      <c r="G11" s="14">
        <v>35</v>
      </c>
      <c r="H11">
        <v>35</v>
      </c>
      <c r="I11" s="13">
        <f t="shared" si="2"/>
        <v>0</v>
      </c>
      <c r="J11" s="14">
        <v>8</v>
      </c>
      <c r="K11" s="14">
        <f t="shared" si="3"/>
        <v>-27</v>
      </c>
      <c r="L11" s="14">
        <v>66</v>
      </c>
      <c r="M11">
        <v>66</v>
      </c>
      <c r="N11" s="13">
        <f t="shared" si="4"/>
        <v>0</v>
      </c>
      <c r="O11" s="14">
        <v>10</v>
      </c>
      <c r="P11" s="13">
        <f t="shared" si="5"/>
        <v>-56</v>
      </c>
    </row>
    <row r="12" spans="1:16">
      <c r="A12" s="13" t="s">
        <v>92</v>
      </c>
      <c r="B12" s="14">
        <v>74</v>
      </c>
      <c r="C12">
        <v>74</v>
      </c>
      <c r="D12" s="13">
        <f t="shared" si="1"/>
        <v>0</v>
      </c>
      <c r="E12" s="14">
        <v>18</v>
      </c>
      <c r="F12" s="14">
        <f t="shared" si="0"/>
        <v>-56</v>
      </c>
      <c r="G12" s="14">
        <v>33</v>
      </c>
      <c r="H12">
        <v>34</v>
      </c>
      <c r="I12" s="13">
        <f t="shared" si="2"/>
        <v>1</v>
      </c>
      <c r="J12" s="14">
        <v>11</v>
      </c>
      <c r="K12" s="14">
        <f t="shared" si="3"/>
        <v>-22</v>
      </c>
      <c r="L12" s="14">
        <v>75</v>
      </c>
      <c r="M12">
        <v>76</v>
      </c>
      <c r="N12" s="13">
        <f t="shared" si="4"/>
        <v>1</v>
      </c>
      <c r="O12" s="14">
        <v>18</v>
      </c>
      <c r="P12" s="13">
        <f t="shared" si="5"/>
        <v>-57</v>
      </c>
    </row>
    <row r="13" spans="1:16">
      <c r="A13" s="13" t="s">
        <v>80</v>
      </c>
      <c r="B13" s="14">
        <v>110</v>
      </c>
      <c r="C13">
        <v>110</v>
      </c>
      <c r="D13" s="13">
        <f t="shared" si="1"/>
        <v>0</v>
      </c>
      <c r="E13" s="14">
        <v>37</v>
      </c>
      <c r="F13" s="14">
        <f t="shared" si="0"/>
        <v>-73</v>
      </c>
      <c r="G13" s="14">
        <v>54</v>
      </c>
      <c r="H13">
        <v>58</v>
      </c>
      <c r="I13" s="13">
        <f t="shared" si="2"/>
        <v>4</v>
      </c>
      <c r="J13" s="14">
        <v>20</v>
      </c>
      <c r="K13" s="14">
        <f t="shared" si="3"/>
        <v>-34</v>
      </c>
      <c r="L13" s="14">
        <v>106</v>
      </c>
      <c r="M13">
        <v>109</v>
      </c>
      <c r="N13" s="13">
        <f t="shared" si="4"/>
        <v>3</v>
      </c>
      <c r="O13" s="14">
        <v>34</v>
      </c>
      <c r="P13" s="13">
        <f t="shared" si="5"/>
        <v>-72</v>
      </c>
    </row>
    <row r="14" spans="1:16">
      <c r="A14" s="13" t="s">
        <v>81</v>
      </c>
      <c r="B14" s="14">
        <v>52</v>
      </c>
      <c r="C14">
        <v>53</v>
      </c>
      <c r="D14" s="13">
        <f t="shared" si="1"/>
        <v>1</v>
      </c>
      <c r="E14" s="14">
        <v>0</v>
      </c>
      <c r="F14" s="14">
        <f t="shared" si="0"/>
        <v>-52</v>
      </c>
      <c r="G14" s="14">
        <v>19</v>
      </c>
      <c r="H14">
        <v>20</v>
      </c>
      <c r="I14" s="13">
        <f t="shared" si="2"/>
        <v>1</v>
      </c>
      <c r="J14" s="14">
        <v>0</v>
      </c>
      <c r="K14" s="14">
        <f t="shared" si="3"/>
        <v>-19</v>
      </c>
      <c r="L14" s="14">
        <v>42</v>
      </c>
      <c r="M14">
        <v>43</v>
      </c>
      <c r="N14" s="13">
        <f t="shared" si="4"/>
        <v>1</v>
      </c>
      <c r="O14" s="14">
        <v>0</v>
      </c>
      <c r="P14" s="13">
        <f t="shared" si="5"/>
        <v>-42</v>
      </c>
    </row>
    <row r="15" spans="1:16">
      <c r="A15" s="13" t="s">
        <v>82</v>
      </c>
      <c r="B15" s="14">
        <v>58</v>
      </c>
      <c r="C15">
        <v>58</v>
      </c>
      <c r="D15" s="13">
        <f t="shared" si="1"/>
        <v>0</v>
      </c>
      <c r="E15" s="14">
        <v>2</v>
      </c>
      <c r="F15" s="14">
        <f t="shared" si="0"/>
        <v>-56</v>
      </c>
      <c r="G15" s="14">
        <v>29</v>
      </c>
      <c r="H15">
        <v>30</v>
      </c>
      <c r="I15" s="13">
        <f t="shared" si="2"/>
        <v>1</v>
      </c>
      <c r="J15" s="14">
        <v>1</v>
      </c>
      <c r="K15" s="14">
        <f t="shared" si="3"/>
        <v>-28</v>
      </c>
      <c r="L15" s="14">
        <v>63</v>
      </c>
      <c r="M15">
        <v>63</v>
      </c>
      <c r="N15" s="13">
        <f t="shared" si="4"/>
        <v>0</v>
      </c>
      <c r="O15" s="14">
        <v>2</v>
      </c>
      <c r="P15" s="13">
        <f t="shared" si="5"/>
        <v>-61</v>
      </c>
    </row>
    <row r="16" spans="1:16">
      <c r="A16" s="13" t="s">
        <v>83</v>
      </c>
      <c r="B16" s="14">
        <v>89</v>
      </c>
      <c r="C16">
        <v>90</v>
      </c>
      <c r="D16" s="13">
        <f t="shared" si="1"/>
        <v>1</v>
      </c>
      <c r="E16" s="14">
        <v>12</v>
      </c>
      <c r="F16" s="14">
        <f t="shared" si="0"/>
        <v>-77</v>
      </c>
      <c r="G16" s="14">
        <v>48</v>
      </c>
      <c r="H16">
        <v>49</v>
      </c>
      <c r="I16" s="13">
        <f t="shared" si="2"/>
        <v>1</v>
      </c>
      <c r="J16" s="14">
        <v>6</v>
      </c>
      <c r="K16" s="14">
        <f t="shared" si="3"/>
        <v>-42</v>
      </c>
      <c r="L16" s="14">
        <v>82</v>
      </c>
      <c r="M16">
        <v>82</v>
      </c>
      <c r="N16" s="13">
        <f t="shared" si="4"/>
        <v>0</v>
      </c>
      <c r="O16" s="14">
        <v>9</v>
      </c>
      <c r="P16" s="13">
        <f t="shared" si="5"/>
        <v>-73</v>
      </c>
    </row>
    <row r="17" spans="1:1">
      <c r="A17" s="16" t="s">
        <v>108</v>
      </c>
    </row>
  </sheetData>
  <conditionalFormatting sqref="D1:D17 F1:F17 I1:I17 K1:K17 N1:N17 P1:P1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Survey</vt:lpstr>
      <vt:lpstr>Evaluation</vt:lpstr>
      <vt:lpstr>Template</vt:lpstr>
      <vt:lpstr>JDeodorant</vt:lpstr>
      <vt:lpstr>JMove</vt:lpstr>
      <vt:lpstr>REsolution</vt:lpstr>
      <vt:lpstr>HMove</vt:lpstr>
      <vt:lpstr>Evaluation!_FilterDatabase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</cp:lastModifiedBy>
  <dcterms:created xsi:type="dcterms:W3CDTF">2015-06-05T18:19:34Z</dcterms:created>
  <dcterms:modified xsi:type="dcterms:W3CDTF">2025-10-03T15:42:01Z</dcterms:modified>
</cp:coreProperties>
</file>