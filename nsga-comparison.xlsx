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Refactoring\RefactorByNSGA3\"/>
    </mc:Choice>
  </mc:AlternateContent>
  <xr:revisionPtr revIDLastSave="0" documentId="13_ncr:1_{142F4BE1-A04B-4ECB-B145-229F9F373A26}" xr6:coauthVersionLast="47" xr6:coauthVersionMax="47" xr10:uidLastSave="{00000000-0000-0000-0000-000000000000}"/>
  <bookViews>
    <workbookView xWindow="-120" yWindow="510" windowWidth="29040" windowHeight="15810" activeTab="2" xr2:uid="{FDD67E61-1D2B-493C-B94B-809F7FCAC258}"/>
  </bookViews>
  <sheets>
    <sheet name="Sheet1" sheetId="1" r:id="rId1"/>
    <sheet name="result" sheetId="2" r:id="rId2"/>
    <sheet name="comparison" sheetId="3" r:id="rId3"/>
    <sheet name="nsga3" sheetId="5" r:id="rId4"/>
    <sheet name="nsga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3" l="1"/>
  <c r="K10" i="3"/>
  <c r="K11" i="3"/>
  <c r="K12" i="3"/>
  <c r="K13" i="3"/>
  <c r="K14" i="3"/>
  <c r="K15" i="3"/>
  <c r="K1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3" i="3"/>
  <c r="E9" i="3"/>
  <c r="E10" i="3"/>
  <c r="E11" i="3"/>
  <c r="E12" i="3"/>
  <c r="E13" i="3"/>
  <c r="E14" i="3"/>
  <c r="E15" i="3"/>
  <c r="E16" i="3"/>
  <c r="E4" i="3"/>
  <c r="E5" i="3"/>
  <c r="E6" i="3"/>
  <c r="E7" i="3"/>
  <c r="E8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3" i="3"/>
  <c r="C9" i="3"/>
  <c r="C10" i="3"/>
  <c r="C11" i="3"/>
  <c r="C12" i="3"/>
  <c r="C13" i="3"/>
  <c r="C14" i="3"/>
  <c r="C15" i="3"/>
  <c r="C16" i="3"/>
  <c r="C4" i="3"/>
  <c r="C5" i="3"/>
  <c r="C6" i="3"/>
  <c r="C7" i="3"/>
  <c r="C8" i="3"/>
  <c r="C3" i="3"/>
  <c r="K3" i="3" l="1"/>
  <c r="K8" i="3"/>
  <c r="K7" i="3"/>
  <c r="K5" i="3"/>
  <c r="K4" i="3"/>
  <c r="H3" i="3"/>
  <c r="E3" i="3"/>
  <c r="K6" i="3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</calcChain>
</file>

<file path=xl/sharedStrings.xml><?xml version="1.0" encoding="utf-8"?>
<sst xmlns="http://schemas.openxmlformats.org/spreadsheetml/2006/main" count="93" uniqueCount="30">
  <si>
    <t>population size</t>
  </si>
  <si>
    <t>max generation</t>
  </si>
  <si>
    <t>WMC</t>
  </si>
  <si>
    <t>CBO</t>
  </si>
  <si>
    <t>RFC</t>
  </si>
  <si>
    <t>ID</t>
  </si>
  <si>
    <t>Dataset</t>
  </si>
  <si>
    <t>参与重构的类数量</t>
  </si>
  <si>
    <t>参与重构的方法数</t>
  </si>
  <si>
    <t>before</t>
  </si>
  <si>
    <t>after</t>
  </si>
  <si>
    <t>delta</t>
  </si>
  <si>
    <t>delta(%)</t>
  </si>
  <si>
    <t>Ant-1.5</t>
  </si>
  <si>
    <t>Ant-1.6</t>
  </si>
  <si>
    <t>Ant-1.7</t>
  </si>
  <si>
    <t>jEdit-4.0</t>
  </si>
  <si>
    <t>jEdit-4.1</t>
  </si>
  <si>
    <t>jEdit-4.2</t>
  </si>
  <si>
    <t>NSGA3</t>
  </si>
  <si>
    <t>NSGA2</t>
  </si>
  <si>
    <t>Delta</t>
  </si>
  <si>
    <t>Camel1.4</t>
  </si>
  <si>
    <t>Camel1.6</t>
  </si>
  <si>
    <t>Lucene2.0</t>
  </si>
  <si>
    <t>Lucene2.2</t>
  </si>
  <si>
    <t>Lucene2.4</t>
  </si>
  <si>
    <t>Synapse1.0</t>
  </si>
  <si>
    <t>Synapse1.1</t>
  </si>
  <si>
    <t>Synapse1.2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</si>
</sst>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color theme="1"/>
      <name val="黑体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0" fontId="1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CBA8-79A7-4892-8D48-A4D9D1F91E0A}">
  <dimension ref="A1:B2"/>
  <sheetViews>
    <sheetView zoomScale="235" zoomScaleNormal="235" workbookViewId="0">
      <selection activeCell="B5" sqref="B5"/>
    </sheetView>
  </sheetViews>
  <sheetFormatPr defaultRowHeight="15"/>
  <cols>
    <col min="1" max="1" width="12.8554687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>
      <c r="A2">
        <v>500</v>
      </c>
      <c r="B2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16F0-3F6F-4F70-A599-C8ED8596F16B}">
  <dimension ref="A1:P9"/>
  <sheetViews>
    <sheetView zoomScale="205" zoomScaleNormal="205" workbookViewId="0">
      <selection activeCell="A9" sqref="A9:B16"/>
    </sheetView>
  </sheetViews>
  <sheetFormatPr defaultRowHeight="15"/>
  <cols>
    <col min="1" max="1" width="2.85546875" bestFit="1" customWidth="1"/>
    <col min="2" max="2" width="6.85546875" bestFit="1" customWidth="1"/>
    <col min="3" max="3" width="7.28515625" customWidth="1"/>
    <col min="4" max="4" width="6.42578125" customWidth="1"/>
    <col min="5" max="5" width="6" bestFit="1" customWidth="1"/>
    <col min="6" max="6" width="4.5703125" bestFit="1" customWidth="1"/>
    <col min="7" max="7" width="4.7109375" bestFit="1" customWidth="1"/>
    <col min="8" max="8" width="7.7109375" bestFit="1" customWidth="1"/>
    <col min="9" max="9" width="6" bestFit="1" customWidth="1"/>
    <col min="10" max="10" width="4.5703125" bestFit="1" customWidth="1"/>
    <col min="11" max="11" width="4.7109375" bestFit="1" customWidth="1"/>
    <col min="12" max="12" width="7.7109375" bestFit="1" customWidth="1"/>
    <col min="13" max="13" width="6" bestFit="1" customWidth="1"/>
    <col min="14" max="14" width="4.5703125" bestFit="1" customWidth="1"/>
    <col min="15" max="15" width="4.7109375" bestFit="1" customWidth="1"/>
    <col min="16" max="16" width="7.7109375" bestFit="1" customWidth="1"/>
  </cols>
  <sheetData>
    <row r="1" spans="1:16">
      <c r="A1" s="1"/>
      <c r="B1" s="2"/>
      <c r="C1" s="3"/>
      <c r="D1" s="3"/>
      <c r="E1" s="15" t="s">
        <v>2</v>
      </c>
      <c r="F1" s="15"/>
      <c r="G1" s="15"/>
      <c r="H1" s="15"/>
      <c r="I1" s="15" t="s">
        <v>3</v>
      </c>
      <c r="J1" s="15"/>
      <c r="K1" s="15"/>
      <c r="L1" s="15"/>
      <c r="M1" s="15" t="s">
        <v>4</v>
      </c>
      <c r="N1" s="15"/>
      <c r="O1" s="15"/>
      <c r="P1" s="15"/>
    </row>
    <row r="2" spans="1:16" ht="31.5">
      <c r="A2" s="4" t="s">
        <v>5</v>
      </c>
      <c r="B2" s="4" t="s">
        <v>6</v>
      </c>
      <c r="C2" s="5" t="s">
        <v>7</v>
      </c>
      <c r="D2" s="5" t="s">
        <v>8</v>
      </c>
      <c r="E2" s="6" t="s">
        <v>9</v>
      </c>
      <c r="F2" s="6" t="s">
        <v>10</v>
      </c>
      <c r="G2" s="6" t="s">
        <v>11</v>
      </c>
      <c r="H2" s="7" t="s">
        <v>12</v>
      </c>
      <c r="I2" s="6" t="s">
        <v>9</v>
      </c>
      <c r="J2" s="6" t="s">
        <v>10</v>
      </c>
      <c r="K2" s="6" t="s">
        <v>11</v>
      </c>
      <c r="L2" s="7" t="s">
        <v>12</v>
      </c>
      <c r="M2" s="6" t="s">
        <v>9</v>
      </c>
      <c r="N2" s="6" t="s">
        <v>10</v>
      </c>
      <c r="O2" s="6" t="s">
        <v>11</v>
      </c>
      <c r="P2" s="7" t="s">
        <v>12</v>
      </c>
    </row>
    <row r="3" spans="1:16">
      <c r="A3" s="8">
        <v>2</v>
      </c>
      <c r="B3" s="9" t="s">
        <v>13</v>
      </c>
      <c r="C3" s="10">
        <v>235</v>
      </c>
      <c r="D3" s="10">
        <v>669</v>
      </c>
      <c r="E3" s="10">
        <v>89</v>
      </c>
      <c r="F3" s="10">
        <v>38</v>
      </c>
      <c r="G3" s="10">
        <f t="shared" ref="G3:G4" si="0">E3-F3</f>
        <v>51</v>
      </c>
      <c r="H3" s="11">
        <f t="shared" ref="H3:H4" si="1">G3/E3</f>
        <v>0.5730337078651685</v>
      </c>
      <c r="I3" s="10">
        <v>56</v>
      </c>
      <c r="J3" s="10">
        <v>30</v>
      </c>
      <c r="K3" s="10">
        <f t="shared" ref="K3:K4" si="2">I3-J3</f>
        <v>26</v>
      </c>
      <c r="L3" s="11">
        <f t="shared" ref="L3:L4" si="3">K3/I3</f>
        <v>0.4642857142857143</v>
      </c>
      <c r="M3" s="10">
        <v>58</v>
      </c>
      <c r="N3" s="10">
        <v>32</v>
      </c>
      <c r="O3" s="10">
        <f t="shared" ref="O3:O4" si="4">M3-N3</f>
        <v>26</v>
      </c>
      <c r="P3" s="11">
        <f t="shared" ref="P3:P4" si="5">O3/M3</f>
        <v>0.44827586206896552</v>
      </c>
    </row>
    <row r="4" spans="1:16">
      <c r="A4" s="8">
        <v>3</v>
      </c>
      <c r="B4" s="9" t="s">
        <v>14</v>
      </c>
      <c r="C4" s="10">
        <v>284</v>
      </c>
      <c r="D4" s="10">
        <v>870</v>
      </c>
      <c r="E4" s="10">
        <v>122</v>
      </c>
      <c r="F4" s="10">
        <v>54</v>
      </c>
      <c r="G4" s="10">
        <f t="shared" si="0"/>
        <v>68</v>
      </c>
      <c r="H4" s="11">
        <f t="shared" si="1"/>
        <v>0.55737704918032782</v>
      </c>
      <c r="I4" s="10">
        <v>80</v>
      </c>
      <c r="J4" s="10">
        <v>43</v>
      </c>
      <c r="K4" s="10">
        <f t="shared" si="2"/>
        <v>37</v>
      </c>
      <c r="L4" s="11">
        <f t="shared" si="3"/>
        <v>0.46250000000000002</v>
      </c>
      <c r="M4" s="10">
        <v>119</v>
      </c>
      <c r="N4" s="10">
        <v>49</v>
      </c>
      <c r="O4" s="10">
        <f t="shared" si="4"/>
        <v>70</v>
      </c>
      <c r="P4" s="11">
        <f t="shared" si="5"/>
        <v>0.58823529411764708</v>
      </c>
    </row>
    <row r="5" spans="1:16">
      <c r="A5" s="8">
        <v>4</v>
      </c>
      <c r="B5" s="9" t="s">
        <v>15</v>
      </c>
      <c r="C5" s="10">
        <v>402</v>
      </c>
      <c r="D5" s="10">
        <v>1180</v>
      </c>
      <c r="E5" s="10">
        <v>171</v>
      </c>
      <c r="F5" s="10">
        <v>85</v>
      </c>
      <c r="G5" s="10">
        <f>E5-F5</f>
        <v>86</v>
      </c>
      <c r="H5" s="11">
        <f>G5/E5</f>
        <v>0.50292397660818711</v>
      </c>
      <c r="I5" s="10">
        <v>141</v>
      </c>
      <c r="J5" s="10">
        <v>68</v>
      </c>
      <c r="K5" s="10">
        <f>I5-J5</f>
        <v>73</v>
      </c>
      <c r="L5" s="11">
        <f>K5/I5</f>
        <v>0.51773049645390068</v>
      </c>
      <c r="M5" s="10">
        <v>113</v>
      </c>
      <c r="N5" s="10">
        <v>70</v>
      </c>
      <c r="O5" s="10">
        <f>M5-N5</f>
        <v>43</v>
      </c>
      <c r="P5" s="11">
        <f>O5/M5</f>
        <v>0.38053097345132741</v>
      </c>
    </row>
    <row r="6" spans="1:16">
      <c r="A6" s="8">
        <v>8</v>
      </c>
      <c r="B6" s="9" t="s">
        <v>16</v>
      </c>
      <c r="C6" s="10">
        <v>176</v>
      </c>
      <c r="D6" s="10">
        <v>119</v>
      </c>
      <c r="E6" s="10">
        <v>61</v>
      </c>
      <c r="F6" s="10">
        <v>4</v>
      </c>
      <c r="G6" s="10">
        <f t="shared" ref="G6:G7" si="6">E6-F6</f>
        <v>57</v>
      </c>
      <c r="H6" s="11">
        <f t="shared" ref="H6:H7" si="7">G6/E6</f>
        <v>0.93442622950819676</v>
      </c>
      <c r="I6" s="10">
        <v>43</v>
      </c>
      <c r="J6" s="10">
        <v>4</v>
      </c>
      <c r="K6" s="10">
        <f t="shared" ref="K6:K7" si="8">I6-J6</f>
        <v>39</v>
      </c>
      <c r="L6" s="11">
        <f t="shared" ref="L6:L7" si="9">K6/I6</f>
        <v>0.90697674418604646</v>
      </c>
      <c r="M6" s="10">
        <v>82</v>
      </c>
      <c r="N6" s="10">
        <v>6</v>
      </c>
      <c r="O6" s="10">
        <f t="shared" ref="O6:O7" si="10">M6-N6</f>
        <v>76</v>
      </c>
      <c r="P6" s="11">
        <f t="shared" ref="P6:P7" si="11">O6/M6</f>
        <v>0.92682926829268297</v>
      </c>
    </row>
    <row r="7" spans="1:16">
      <c r="A7" s="8">
        <v>9</v>
      </c>
      <c r="B7" s="9" t="s">
        <v>17</v>
      </c>
      <c r="C7" s="10">
        <v>178</v>
      </c>
      <c r="D7" s="10">
        <v>234</v>
      </c>
      <c r="E7" s="10">
        <v>74</v>
      </c>
      <c r="F7" s="10">
        <v>16</v>
      </c>
      <c r="G7" s="10">
        <f t="shared" si="6"/>
        <v>58</v>
      </c>
      <c r="H7" s="11">
        <f t="shared" si="7"/>
        <v>0.78378378378378377</v>
      </c>
      <c r="I7" s="10">
        <v>35</v>
      </c>
      <c r="J7" s="10">
        <v>11</v>
      </c>
      <c r="K7" s="10">
        <f t="shared" si="8"/>
        <v>24</v>
      </c>
      <c r="L7" s="11">
        <f t="shared" si="9"/>
        <v>0.68571428571428572</v>
      </c>
      <c r="M7" s="10">
        <v>88</v>
      </c>
      <c r="N7" s="10">
        <v>15</v>
      </c>
      <c r="O7" s="10">
        <f t="shared" si="10"/>
        <v>73</v>
      </c>
      <c r="P7" s="11">
        <f t="shared" si="11"/>
        <v>0.82954545454545459</v>
      </c>
    </row>
    <row r="8" spans="1:16">
      <c r="A8" s="8">
        <v>10</v>
      </c>
      <c r="B8" s="9" t="s">
        <v>18</v>
      </c>
      <c r="C8" s="10">
        <v>222</v>
      </c>
      <c r="D8" s="10">
        <v>383</v>
      </c>
      <c r="E8" s="10">
        <v>94</v>
      </c>
      <c r="F8" s="10">
        <v>27</v>
      </c>
      <c r="G8" s="10">
        <f>E8-F8</f>
        <v>67</v>
      </c>
      <c r="H8" s="11">
        <f>G8/E8</f>
        <v>0.71276595744680848</v>
      </c>
      <c r="I8" s="10">
        <v>40</v>
      </c>
      <c r="J8" s="10">
        <v>18</v>
      </c>
      <c r="K8" s="10">
        <f>I8-J8</f>
        <v>22</v>
      </c>
      <c r="L8" s="11">
        <f>K8/I8</f>
        <v>0.55000000000000004</v>
      </c>
      <c r="M8" s="10">
        <v>96</v>
      </c>
      <c r="N8" s="10">
        <v>26</v>
      </c>
      <c r="O8" s="10">
        <f>M8-N8</f>
        <v>70</v>
      </c>
      <c r="P8" s="11">
        <f>O8/M8</f>
        <v>0.72916666666666663</v>
      </c>
    </row>
    <row r="9" spans="1:16">
      <c r="A9" s="8"/>
      <c r="B9" s="9"/>
      <c r="C9" s="10"/>
      <c r="D9" s="10"/>
      <c r="E9" s="10"/>
      <c r="F9" s="10"/>
      <c r="G9" s="10"/>
      <c r="H9" s="11"/>
      <c r="I9" s="10"/>
      <c r="J9" s="10"/>
      <c r="K9" s="10"/>
      <c r="L9" s="11"/>
      <c r="M9" s="10"/>
      <c r="N9" s="10"/>
      <c r="O9" s="10"/>
      <c r="P9" s="11"/>
    </row>
  </sheetData>
  <mergeCells count="3">
    <mergeCell ref="E1:H1"/>
    <mergeCell ref="I1:L1"/>
    <mergeCell ref="M1:P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9CC0-1EA8-4F87-B130-84710A90A516}">
  <dimension ref="A1:K16"/>
  <sheetViews>
    <sheetView tabSelected="1" zoomScale="235" zoomScaleNormal="235" workbookViewId="0">
      <selection activeCell="J6" sqref="J6"/>
    </sheetView>
  </sheetViews>
  <sheetFormatPr defaultRowHeight="15"/>
  <cols>
    <col min="1" max="1" width="2.85546875" bestFit="1" customWidth="1"/>
    <col min="2" max="2" width="10.28515625" bestFit="1" customWidth="1"/>
    <col min="3" max="3" width="8" customWidth="1"/>
    <col min="4" max="4" width="7.85546875" customWidth="1"/>
    <col min="5" max="5" width="5.140625" bestFit="1" customWidth="1"/>
    <col min="6" max="6" width="7.85546875" customWidth="1"/>
    <col min="7" max="7" width="8" customWidth="1"/>
    <col min="8" max="8" width="5.140625" bestFit="1" customWidth="1"/>
    <col min="9" max="9" width="8.5703125" customWidth="1"/>
    <col min="10" max="10" width="7.85546875" customWidth="1"/>
    <col min="11" max="11" width="5.140625" bestFit="1" customWidth="1"/>
  </cols>
  <sheetData>
    <row r="1" spans="1:11">
      <c r="C1" s="12" t="s">
        <v>2</v>
      </c>
      <c r="D1" s="12"/>
      <c r="E1" s="12"/>
      <c r="F1" s="12" t="s">
        <v>3</v>
      </c>
      <c r="G1" s="12"/>
      <c r="H1" s="12"/>
      <c r="I1" s="12" t="s">
        <v>4</v>
      </c>
    </row>
    <row r="2" spans="1:11" ht="30">
      <c r="A2" s="4" t="s">
        <v>5</v>
      </c>
      <c r="B2" s="4" t="s">
        <v>6</v>
      </c>
      <c r="C2" s="4" t="s">
        <v>19</v>
      </c>
      <c r="D2" s="4" t="s">
        <v>20</v>
      </c>
      <c r="E2" s="4" t="s">
        <v>21</v>
      </c>
      <c r="F2" s="4" t="s">
        <v>19</v>
      </c>
      <c r="G2" s="4" t="s">
        <v>20</v>
      </c>
      <c r="H2" s="4" t="s">
        <v>21</v>
      </c>
      <c r="I2" s="4" t="s">
        <v>19</v>
      </c>
      <c r="J2" s="4" t="s">
        <v>20</v>
      </c>
      <c r="K2" s="4" t="s">
        <v>21</v>
      </c>
    </row>
    <row r="3" spans="1:11">
      <c r="A3" s="8">
        <v>2</v>
      </c>
      <c r="B3" s="9" t="s">
        <v>13</v>
      </c>
      <c r="C3" s="13">
        <f>VLOOKUP(A3,nsga3!A1:E15,3,FALSE)</f>
        <v>38</v>
      </c>
      <c r="D3" s="13">
        <f>VLOOKUP(A3,nsga2!A1:$E$15,3,FALSE)</f>
        <v>49</v>
      </c>
      <c r="E3" s="13">
        <f>D3-C3</f>
        <v>11</v>
      </c>
      <c r="F3" s="13">
        <f>VLOOKUP(A3,nsga3!$A$1:$E$15,4,FALSE)</f>
        <v>30</v>
      </c>
      <c r="G3" s="13">
        <f>VLOOKUP(A3,nsga2!$A$1:$E$15,4,FALSE)</f>
        <v>34</v>
      </c>
      <c r="H3" s="13">
        <f>G3-F3</f>
        <v>4</v>
      </c>
      <c r="I3" s="13">
        <f>VLOOKUP(A3,nsga3!$A$1:$E$15,5,FALSE)</f>
        <v>32</v>
      </c>
      <c r="J3" s="13">
        <f>VLOOKUP(A3,nsga2!$A$1:$E$15,5,FALSE)</f>
        <v>36</v>
      </c>
      <c r="K3" s="14">
        <f>J3-I3</f>
        <v>4</v>
      </c>
    </row>
    <row r="4" spans="1:11">
      <c r="A4" s="8">
        <v>3</v>
      </c>
      <c r="B4" s="9" t="s">
        <v>14</v>
      </c>
      <c r="C4" s="13">
        <f>VLOOKUP(A4,nsga3!A2:E16,3,FALSE)</f>
        <v>54</v>
      </c>
      <c r="D4" s="13">
        <f>VLOOKUP(A4,nsga2!A2:$E$15,3,FALSE)</f>
        <v>72</v>
      </c>
      <c r="E4" s="13">
        <f t="shared" ref="E4:E16" si="0">D4-C4</f>
        <v>18</v>
      </c>
      <c r="F4" s="13">
        <f>VLOOKUP(A4,nsga3!$A$1:$E$15,4,FALSE)</f>
        <v>43</v>
      </c>
      <c r="G4" s="13">
        <f>VLOOKUP(A4,nsga2!$A$1:$E$15,4,FALSE)</f>
        <v>51</v>
      </c>
      <c r="H4" s="13">
        <f t="shared" ref="H4:H16" si="1">G4-F4</f>
        <v>8</v>
      </c>
      <c r="I4" s="13">
        <f>VLOOKUP(A4,nsga3!$A$1:$E$15,5,FALSE)</f>
        <v>49</v>
      </c>
      <c r="J4" s="13">
        <f>VLOOKUP(A4,nsga2!$A$1:$E$15,5,FALSE)</f>
        <v>67</v>
      </c>
      <c r="K4" s="14">
        <f t="shared" ref="K4:K16" si="2">J4-I4</f>
        <v>18</v>
      </c>
    </row>
    <row r="5" spans="1:11">
      <c r="A5" s="8">
        <v>4</v>
      </c>
      <c r="B5" s="9" t="s">
        <v>15</v>
      </c>
      <c r="C5" s="13">
        <f>VLOOKUP(A5,nsga3!A3:E17,3,FALSE)</f>
        <v>85</v>
      </c>
      <c r="D5" s="13">
        <f>VLOOKUP(A5,nsga2!A3:$E$15,3,FALSE)</f>
        <v>106</v>
      </c>
      <c r="E5" s="13">
        <f t="shared" si="0"/>
        <v>21</v>
      </c>
      <c r="F5" s="13">
        <f>VLOOKUP(A5,nsga3!$A$1:$E$15,4,FALSE)</f>
        <v>68</v>
      </c>
      <c r="G5" s="13">
        <f>VLOOKUP(A5,nsga2!$A$1:$E$15,4,FALSE)</f>
        <v>73</v>
      </c>
      <c r="H5" s="13">
        <f t="shared" si="1"/>
        <v>5</v>
      </c>
      <c r="I5" s="13">
        <f>VLOOKUP(A5,nsga3!$A$1:$E$15,5,FALSE)</f>
        <v>70</v>
      </c>
      <c r="J5" s="13">
        <f>VLOOKUP(A5,nsga2!$A$1:$E$15,5,FALSE)</f>
        <v>84</v>
      </c>
      <c r="K5" s="14">
        <f t="shared" si="2"/>
        <v>14</v>
      </c>
    </row>
    <row r="6" spans="1:11">
      <c r="A6" s="8">
        <v>8</v>
      </c>
      <c r="B6" s="9" t="s">
        <v>16</v>
      </c>
      <c r="C6" s="13">
        <f>VLOOKUP(A6,nsga3!A4:E18,3,FALSE)</f>
        <v>4</v>
      </c>
      <c r="D6" s="13">
        <f>VLOOKUP(A6,nsga2!A4:$E$15,3,FALSE)</f>
        <v>8</v>
      </c>
      <c r="E6" s="13">
        <f t="shared" si="0"/>
        <v>4</v>
      </c>
      <c r="F6" s="13">
        <f>VLOOKUP(A6,nsga3!$A$1:$E$15,4,FALSE)</f>
        <v>4</v>
      </c>
      <c r="G6" s="13">
        <f>VLOOKUP(A6,nsga2!$A$1:$E$15,4,FALSE)</f>
        <v>7</v>
      </c>
      <c r="H6" s="13">
        <f t="shared" si="1"/>
        <v>3</v>
      </c>
      <c r="I6" s="13">
        <f>VLOOKUP(A6,nsga3!$A$1:$E$15,5,FALSE)</f>
        <v>6</v>
      </c>
      <c r="J6" s="13">
        <f>VLOOKUP(A6,nsga2!$A$1:$E$15,5,FALSE)</f>
        <v>10</v>
      </c>
      <c r="K6" s="14">
        <f t="shared" si="2"/>
        <v>4</v>
      </c>
    </row>
    <row r="7" spans="1:11">
      <c r="A7" s="8">
        <v>9</v>
      </c>
      <c r="B7" s="9" t="s">
        <v>17</v>
      </c>
      <c r="C7" s="13">
        <f>VLOOKUP(A7,nsga3!A5:E19,3,FALSE)</f>
        <v>16</v>
      </c>
      <c r="D7" s="13">
        <f>VLOOKUP(A7,nsga2!A5:$E$15,3,FALSE)</f>
        <v>20</v>
      </c>
      <c r="E7" s="13">
        <f t="shared" si="0"/>
        <v>4</v>
      </c>
      <c r="F7" s="13">
        <f>VLOOKUP(A7,nsga3!$A$1:$E$15,4,FALSE)</f>
        <v>11</v>
      </c>
      <c r="G7" s="13">
        <f>VLOOKUP(A7,nsga2!$A$1:$E$15,4,FALSE)</f>
        <v>15</v>
      </c>
      <c r="H7" s="13">
        <f t="shared" si="1"/>
        <v>4</v>
      </c>
      <c r="I7" s="13">
        <f>VLOOKUP(A7,nsga3!$A$1:$E$15,5,FALSE)</f>
        <v>15</v>
      </c>
      <c r="J7" s="13">
        <f>VLOOKUP(A7,nsga2!$A$1:$E$15,5,FALSE)</f>
        <v>20</v>
      </c>
      <c r="K7" s="14">
        <f t="shared" si="2"/>
        <v>5</v>
      </c>
    </row>
    <row r="8" spans="1:11">
      <c r="A8" s="8">
        <v>10</v>
      </c>
      <c r="B8" s="9" t="s">
        <v>18</v>
      </c>
      <c r="C8" s="13">
        <f>VLOOKUP(A8,nsga3!A6:E20,3,FALSE)</f>
        <v>27</v>
      </c>
      <c r="D8" s="13">
        <f>VLOOKUP(A8,nsga2!A6:$E$15,3,FALSE)</f>
        <v>37</v>
      </c>
      <c r="E8" s="13">
        <f t="shared" si="0"/>
        <v>10</v>
      </c>
      <c r="F8" s="13">
        <f>VLOOKUP(A8,nsga3!$A$1:$E$15,4,FALSE)</f>
        <v>18</v>
      </c>
      <c r="G8" s="13">
        <f>VLOOKUP(A8,nsga2!$A$1:$E$15,4,FALSE)</f>
        <v>20</v>
      </c>
      <c r="H8" s="13">
        <f t="shared" si="1"/>
        <v>2</v>
      </c>
      <c r="I8" s="13">
        <f>VLOOKUP(A8,nsga3!$A$1:$E$15,5,FALSE)</f>
        <v>26</v>
      </c>
      <c r="J8" s="13">
        <f>VLOOKUP(A8,nsga2!$A$1:$E$15,5,FALSE)</f>
        <v>36</v>
      </c>
      <c r="K8" s="14">
        <f t="shared" si="2"/>
        <v>10</v>
      </c>
    </row>
    <row r="9" spans="1:11">
      <c r="A9" s="10">
        <v>6</v>
      </c>
      <c r="B9" s="10" t="s">
        <v>22</v>
      </c>
      <c r="C9" s="13">
        <f>VLOOKUP(A9,nsga3!A7:E21,3,FALSE)</f>
        <v>67</v>
      </c>
      <c r="D9" s="13">
        <f>VLOOKUP(A9,nsga2!A7:$E$15,3,FALSE)</f>
        <v>94</v>
      </c>
      <c r="E9" s="13">
        <f t="shared" si="0"/>
        <v>27</v>
      </c>
      <c r="F9" s="13">
        <f>VLOOKUP(A9,nsga3!$A$1:$E$15,4,FALSE)</f>
        <v>54</v>
      </c>
      <c r="G9" s="13">
        <f>VLOOKUP(A9,nsga2!$A$1:$E$15,4,FALSE)</f>
        <v>101</v>
      </c>
      <c r="H9" s="13">
        <f t="shared" si="1"/>
        <v>47</v>
      </c>
      <c r="I9" s="13">
        <f>VLOOKUP(A9,nsga3!$A$1:$E$15,5,FALSE)</f>
        <v>66</v>
      </c>
      <c r="J9" s="13">
        <f>VLOOKUP(A9,nsga2!$A$1:$E$15,5,FALSE)</f>
        <v>103</v>
      </c>
      <c r="K9" s="14">
        <f t="shared" si="2"/>
        <v>37</v>
      </c>
    </row>
    <row r="10" spans="1:11">
      <c r="A10" s="10">
        <v>7</v>
      </c>
      <c r="B10" s="10" t="s">
        <v>23</v>
      </c>
      <c r="C10" s="13">
        <f>VLOOKUP(A10,nsga3!A8:E22,3,FALSE)</f>
        <v>183</v>
      </c>
      <c r="D10" s="13">
        <f>VLOOKUP(A10,nsga2!A8:$E$15,3,FALSE)</f>
        <v>250</v>
      </c>
      <c r="E10" s="13">
        <f t="shared" si="0"/>
        <v>67</v>
      </c>
      <c r="F10" s="13">
        <f>VLOOKUP(A10,nsga3!$A$1:$E$15,4,FALSE)</f>
        <v>83</v>
      </c>
      <c r="G10" s="13">
        <f>VLOOKUP(A10,nsga2!$A$1:$E$15,4,FALSE)</f>
        <v>135</v>
      </c>
      <c r="H10" s="13">
        <f t="shared" si="1"/>
        <v>52</v>
      </c>
      <c r="I10" s="13">
        <f>VLOOKUP(A10,nsga3!$A$1:$E$15,5,FALSE)</f>
        <v>112</v>
      </c>
      <c r="J10" s="13">
        <f>VLOOKUP(A10,nsga2!$A$1:$E$15,5,FALSE)</f>
        <v>158</v>
      </c>
      <c r="K10" s="14">
        <f t="shared" si="2"/>
        <v>46</v>
      </c>
    </row>
    <row r="11" spans="1:11">
      <c r="A11" s="10">
        <v>11</v>
      </c>
      <c r="B11" s="10" t="s">
        <v>24</v>
      </c>
      <c r="C11" s="13">
        <f>VLOOKUP(A11,nsga3!A9:E23,3,FALSE)</f>
        <v>10</v>
      </c>
      <c r="D11" s="13">
        <f>VLOOKUP(A11,nsga2!A9:$E$15,3,FALSE)</f>
        <v>12</v>
      </c>
      <c r="E11" s="13">
        <f t="shared" si="0"/>
        <v>2</v>
      </c>
      <c r="F11" s="13">
        <f>VLOOKUP(A11,nsga3!$A$1:$E$15,4,FALSE)</f>
        <v>8</v>
      </c>
      <c r="G11" s="13">
        <f>VLOOKUP(A11,nsga2!$A$1:$E$15,4,FALSE)</f>
        <v>14</v>
      </c>
      <c r="H11" s="13">
        <f t="shared" si="1"/>
        <v>6</v>
      </c>
      <c r="I11" s="13">
        <f>VLOOKUP(A11,nsga3!$A$1:$E$15,5,FALSE)</f>
        <v>10</v>
      </c>
      <c r="J11" s="13">
        <f>VLOOKUP(A11,nsga2!$A$1:$E$15,5,FALSE)</f>
        <v>20</v>
      </c>
      <c r="K11" s="14">
        <f t="shared" si="2"/>
        <v>10</v>
      </c>
    </row>
    <row r="12" spans="1:11">
      <c r="A12" s="10">
        <v>12</v>
      </c>
      <c r="B12" s="10" t="s">
        <v>25</v>
      </c>
      <c r="C12" s="13">
        <f>VLOOKUP(A12,nsga3!A10:E24,3,FALSE)</f>
        <v>18</v>
      </c>
      <c r="D12" s="13">
        <f>VLOOKUP(A12,nsga2!A10:$E$15,3,FALSE)</f>
        <v>24</v>
      </c>
      <c r="E12" s="13">
        <f t="shared" si="0"/>
        <v>6</v>
      </c>
      <c r="F12" s="13">
        <f>VLOOKUP(A12,nsga3!$A$1:$E$15,4,FALSE)</f>
        <v>11</v>
      </c>
      <c r="G12" s="13">
        <f>VLOOKUP(A12,nsga2!$A$1:$E$15,4,FALSE)</f>
        <v>21</v>
      </c>
      <c r="H12" s="13">
        <f t="shared" si="1"/>
        <v>10</v>
      </c>
      <c r="I12" s="13">
        <f>VLOOKUP(A12,nsga3!$A$1:$E$15,5,FALSE)</f>
        <v>18</v>
      </c>
      <c r="J12" s="13">
        <f>VLOOKUP(A12,nsga2!$A$1:$E$15,5,FALSE)</f>
        <v>28</v>
      </c>
      <c r="K12" s="14">
        <f t="shared" si="2"/>
        <v>10</v>
      </c>
    </row>
    <row r="13" spans="1:11">
      <c r="A13" s="10">
        <v>13</v>
      </c>
      <c r="B13" s="10" t="s">
        <v>26</v>
      </c>
      <c r="C13" s="13">
        <f>VLOOKUP(A13,nsga3!A11:E25,3,FALSE)</f>
        <v>37</v>
      </c>
      <c r="D13" s="13">
        <f>VLOOKUP(A13,nsga2!A11:$E$15,3,FALSE)</f>
        <v>54</v>
      </c>
      <c r="E13" s="13">
        <f t="shared" si="0"/>
        <v>17</v>
      </c>
      <c r="F13" s="13">
        <f>VLOOKUP(A13,nsga3!$A$1:$E$15,4,FALSE)</f>
        <v>20</v>
      </c>
      <c r="G13" s="13">
        <f>VLOOKUP(A13,nsga2!$A$1:$E$15,4,FALSE)</f>
        <v>36</v>
      </c>
      <c r="H13" s="13">
        <f t="shared" si="1"/>
        <v>16</v>
      </c>
      <c r="I13" s="13">
        <f>VLOOKUP(A13,nsga3!$A$1:$E$15,5,FALSE)</f>
        <v>34</v>
      </c>
      <c r="J13" s="13">
        <f>VLOOKUP(A13,nsga2!$A$1:$E$15,5,FALSE)</f>
        <v>61</v>
      </c>
      <c r="K13" s="14">
        <f t="shared" si="2"/>
        <v>27</v>
      </c>
    </row>
    <row r="14" spans="1:11">
      <c r="A14" s="10">
        <v>14</v>
      </c>
      <c r="B14" s="10" t="s">
        <v>27</v>
      </c>
      <c r="C14" s="13">
        <f>VLOOKUP(A14,nsga3!A12:E26,3,FALSE)</f>
        <v>0</v>
      </c>
      <c r="D14" s="13">
        <f>VLOOKUP(A14,nsga2!A12:$E$15,3,FALSE)</f>
        <v>1</v>
      </c>
      <c r="E14" s="13">
        <f t="shared" si="0"/>
        <v>1</v>
      </c>
      <c r="F14" s="13">
        <f>VLOOKUP(A14,nsga3!$A$1:$E$15,4,FALSE)</f>
        <v>0</v>
      </c>
      <c r="G14" s="13">
        <f>VLOOKUP(A14,nsga2!$A$1:$E$15,4,FALSE)</f>
        <v>1</v>
      </c>
      <c r="H14" s="13">
        <f t="shared" si="1"/>
        <v>1</v>
      </c>
      <c r="I14" s="13">
        <f>VLOOKUP(A14,nsga3!$A$1:$E$15,5,FALSE)</f>
        <v>0</v>
      </c>
      <c r="J14" s="13">
        <f>VLOOKUP(A14,nsga2!$A$1:$E$15,5,FALSE)</f>
        <v>1</v>
      </c>
      <c r="K14" s="14">
        <f t="shared" si="2"/>
        <v>1</v>
      </c>
    </row>
    <row r="15" spans="1:11">
      <c r="A15" s="10">
        <v>15</v>
      </c>
      <c r="B15" s="10" t="s">
        <v>28</v>
      </c>
      <c r="C15" s="13">
        <f>VLOOKUP(A15,nsga3!A13:E27,3,FALSE)</f>
        <v>2</v>
      </c>
      <c r="D15" s="13">
        <f>VLOOKUP(A15,nsga2!A13:$E$15,3,FALSE)</f>
        <v>4</v>
      </c>
      <c r="E15" s="13">
        <f t="shared" si="0"/>
        <v>2</v>
      </c>
      <c r="F15" s="13">
        <f>VLOOKUP(A15,nsga3!$A$1:$E$15,4,FALSE)</f>
        <v>1</v>
      </c>
      <c r="G15" s="13">
        <f>VLOOKUP(A15,nsga2!$A$1:$E$15,4,FALSE)</f>
        <v>6</v>
      </c>
      <c r="H15" s="13">
        <f t="shared" si="1"/>
        <v>5</v>
      </c>
      <c r="I15" s="13">
        <f>VLOOKUP(A15,nsga3!$A$1:$E$15,5,FALSE)</f>
        <v>2</v>
      </c>
      <c r="J15" s="13">
        <f>VLOOKUP(A15,nsga2!$A$1:$E$15,5,FALSE)</f>
        <v>7</v>
      </c>
      <c r="K15" s="14">
        <f t="shared" si="2"/>
        <v>5</v>
      </c>
    </row>
    <row r="16" spans="1:11">
      <c r="A16" s="10">
        <v>16</v>
      </c>
      <c r="B16" s="10" t="s">
        <v>29</v>
      </c>
      <c r="C16" s="13">
        <f>VLOOKUP(A16,nsga3!A14:E28,3,FALSE)</f>
        <v>12</v>
      </c>
      <c r="D16" s="13">
        <f>VLOOKUP(A16,nsga2!A14:$E$15,3,FALSE)</f>
        <v>21</v>
      </c>
      <c r="E16" s="13">
        <f t="shared" si="0"/>
        <v>9</v>
      </c>
      <c r="F16" s="13">
        <f>VLOOKUP(A16,nsga3!$A$1:$E$15,4,FALSE)</f>
        <v>6</v>
      </c>
      <c r="G16" s="13">
        <f>VLOOKUP(A16,nsga2!$A$1:$E$15,4,FALSE)</f>
        <v>16</v>
      </c>
      <c r="H16" s="13">
        <f t="shared" si="1"/>
        <v>10</v>
      </c>
      <c r="I16" s="13">
        <f>VLOOKUP(A16,nsga3!$A$1:$E$15,5,FALSE)</f>
        <v>9</v>
      </c>
      <c r="J16" s="13">
        <f>VLOOKUP(A16,nsga2!$A$1:$E$15,5,FALSE)</f>
        <v>18</v>
      </c>
      <c r="K16" s="14">
        <f t="shared" si="2"/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82E7-6980-48AB-B47B-CDD3155DEDBA}">
  <dimension ref="A1:E15"/>
  <sheetViews>
    <sheetView zoomScale="220" zoomScaleNormal="220" workbookViewId="0">
      <selection activeCell="C11" sqref="C11:E11"/>
    </sheetView>
  </sheetViews>
  <sheetFormatPr defaultRowHeight="15"/>
  <sheetData>
    <row r="1" spans="1:5">
      <c r="A1" s="4" t="s">
        <v>5</v>
      </c>
      <c r="B1" s="4" t="s">
        <v>6</v>
      </c>
      <c r="C1" s="4" t="s">
        <v>2</v>
      </c>
      <c r="D1" s="4" t="s">
        <v>3</v>
      </c>
      <c r="E1" s="4" t="s">
        <v>4</v>
      </c>
    </row>
    <row r="2" spans="1:5">
      <c r="A2" s="8">
        <v>2</v>
      </c>
      <c r="B2" s="9" t="s">
        <v>13</v>
      </c>
      <c r="C2" s="10">
        <v>38</v>
      </c>
      <c r="D2" s="10">
        <v>30</v>
      </c>
      <c r="E2" s="10">
        <v>32</v>
      </c>
    </row>
    <row r="3" spans="1:5">
      <c r="A3" s="8">
        <v>3</v>
      </c>
      <c r="B3" s="9" t="s">
        <v>14</v>
      </c>
      <c r="C3" s="10">
        <v>54</v>
      </c>
      <c r="D3" s="10">
        <v>43</v>
      </c>
      <c r="E3" s="10">
        <v>49</v>
      </c>
    </row>
    <row r="4" spans="1:5">
      <c r="A4" s="8">
        <v>4</v>
      </c>
      <c r="B4" s="9" t="s">
        <v>15</v>
      </c>
      <c r="C4" s="10">
        <v>85</v>
      </c>
      <c r="D4" s="10">
        <v>68</v>
      </c>
      <c r="E4" s="10">
        <v>70</v>
      </c>
    </row>
    <row r="5" spans="1:5">
      <c r="A5" s="8">
        <v>8</v>
      </c>
      <c r="B5" s="9" t="s">
        <v>16</v>
      </c>
      <c r="C5" s="10">
        <v>4</v>
      </c>
      <c r="D5" s="10">
        <v>4</v>
      </c>
      <c r="E5" s="10">
        <v>6</v>
      </c>
    </row>
    <row r="6" spans="1:5">
      <c r="A6" s="8">
        <v>9</v>
      </c>
      <c r="B6" s="9" t="s">
        <v>17</v>
      </c>
      <c r="C6" s="10">
        <v>16</v>
      </c>
      <c r="D6" s="10">
        <v>11</v>
      </c>
      <c r="E6" s="10">
        <v>15</v>
      </c>
    </row>
    <row r="7" spans="1:5">
      <c r="A7" s="8">
        <v>10</v>
      </c>
      <c r="B7" s="9" t="s">
        <v>18</v>
      </c>
      <c r="C7" s="10">
        <v>27</v>
      </c>
      <c r="D7" s="10">
        <v>18</v>
      </c>
      <c r="E7" s="10">
        <v>26</v>
      </c>
    </row>
    <row r="8" spans="1:5">
      <c r="A8" s="10">
        <v>6</v>
      </c>
      <c r="B8" s="10" t="s">
        <v>22</v>
      </c>
      <c r="C8" s="10">
        <v>67</v>
      </c>
      <c r="D8" s="10">
        <v>54</v>
      </c>
      <c r="E8" s="10">
        <v>66</v>
      </c>
    </row>
    <row r="9" spans="1:5">
      <c r="A9" s="10">
        <v>7</v>
      </c>
      <c r="B9" s="10" t="s">
        <v>23</v>
      </c>
      <c r="C9" s="10">
        <v>183</v>
      </c>
      <c r="D9" s="10">
        <v>83</v>
      </c>
      <c r="E9" s="10">
        <v>112</v>
      </c>
    </row>
    <row r="10" spans="1:5">
      <c r="A10" s="10">
        <v>11</v>
      </c>
      <c r="B10" s="10" t="s">
        <v>24</v>
      </c>
      <c r="C10" s="10">
        <v>10</v>
      </c>
      <c r="D10" s="10">
        <v>8</v>
      </c>
      <c r="E10" s="10">
        <v>10</v>
      </c>
    </row>
    <row r="11" spans="1:5">
      <c r="A11" s="10">
        <v>12</v>
      </c>
      <c r="B11" s="10" t="s">
        <v>25</v>
      </c>
      <c r="C11" s="10">
        <v>18</v>
      </c>
      <c r="D11" s="10">
        <v>11</v>
      </c>
      <c r="E11" s="10">
        <v>18</v>
      </c>
    </row>
    <row r="12" spans="1:5">
      <c r="A12" s="10">
        <v>13</v>
      </c>
      <c r="B12" s="10" t="s">
        <v>26</v>
      </c>
      <c r="C12" s="10">
        <v>37</v>
      </c>
      <c r="D12" s="10">
        <v>20</v>
      </c>
      <c r="E12" s="10">
        <v>34</v>
      </c>
    </row>
    <row r="13" spans="1:5">
      <c r="A13" s="10">
        <v>14</v>
      </c>
      <c r="B13" s="10" t="s">
        <v>27</v>
      </c>
      <c r="C13" s="10">
        <v>0</v>
      </c>
      <c r="D13" s="10">
        <v>0</v>
      </c>
      <c r="E13" s="10">
        <v>0</v>
      </c>
    </row>
    <row r="14" spans="1:5">
      <c r="A14" s="10">
        <v>15</v>
      </c>
      <c r="B14" s="10" t="s">
        <v>28</v>
      </c>
      <c r="C14" s="10">
        <v>2</v>
      </c>
      <c r="D14" s="10">
        <v>1</v>
      </c>
      <c r="E14" s="10">
        <v>2</v>
      </c>
    </row>
    <row r="15" spans="1:5">
      <c r="A15" s="10">
        <v>16</v>
      </c>
      <c r="B15" s="10" t="s">
        <v>29</v>
      </c>
      <c r="C15" s="10">
        <v>12</v>
      </c>
      <c r="D15" s="10">
        <v>6</v>
      </c>
      <c r="E15" s="10">
        <v>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00BA-5AFF-452A-9044-1D4DC1AF8F5F}">
  <dimension ref="A1:E15"/>
  <sheetViews>
    <sheetView zoomScale="235" zoomScaleNormal="235" workbookViewId="0">
      <selection activeCell="E11" sqref="E11"/>
    </sheetView>
  </sheetViews>
  <sheetFormatPr defaultRowHeight="15"/>
  <cols>
    <col min="2" max="2" width="10.28515625" bestFit="1" customWidth="1"/>
    <col min="3" max="3" width="5.7109375" bestFit="1" customWidth="1"/>
    <col min="4" max="4" width="4.85546875" bestFit="1" customWidth="1"/>
    <col min="5" max="5" width="4.5703125" bestFit="1" customWidth="1"/>
  </cols>
  <sheetData>
    <row r="1" spans="1:5" ht="30">
      <c r="A1" s="4" t="s">
        <v>5</v>
      </c>
      <c r="B1" s="4" t="s">
        <v>6</v>
      </c>
      <c r="C1" s="4" t="s">
        <v>2</v>
      </c>
      <c r="D1" s="4" t="s">
        <v>3</v>
      </c>
      <c r="E1" s="4" t="s">
        <v>4</v>
      </c>
    </row>
    <row r="2" spans="1:5">
      <c r="A2" s="8">
        <v>2</v>
      </c>
      <c r="B2" s="9" t="s">
        <v>13</v>
      </c>
      <c r="C2" s="10">
        <v>49</v>
      </c>
      <c r="D2" s="10">
        <v>34</v>
      </c>
      <c r="E2" s="10">
        <v>36</v>
      </c>
    </row>
    <row r="3" spans="1:5">
      <c r="A3" s="8">
        <v>3</v>
      </c>
      <c r="B3" s="9" t="s">
        <v>14</v>
      </c>
      <c r="C3" s="10">
        <v>72</v>
      </c>
      <c r="D3" s="10">
        <v>51</v>
      </c>
      <c r="E3" s="10">
        <v>67</v>
      </c>
    </row>
    <row r="4" spans="1:5">
      <c r="A4" s="8">
        <v>4</v>
      </c>
      <c r="B4" s="9" t="s">
        <v>15</v>
      </c>
      <c r="C4" s="10">
        <v>106</v>
      </c>
      <c r="D4" s="10">
        <v>73</v>
      </c>
      <c r="E4" s="10">
        <v>84</v>
      </c>
    </row>
    <row r="5" spans="1:5">
      <c r="A5" s="8">
        <v>8</v>
      </c>
      <c r="B5" s="9" t="s">
        <v>16</v>
      </c>
      <c r="C5" s="10">
        <v>8</v>
      </c>
      <c r="D5" s="10">
        <v>7</v>
      </c>
      <c r="E5" s="10">
        <v>10</v>
      </c>
    </row>
    <row r="6" spans="1:5">
      <c r="A6" s="8">
        <v>9</v>
      </c>
      <c r="B6" s="9" t="s">
        <v>17</v>
      </c>
      <c r="C6">
        <v>20</v>
      </c>
      <c r="D6">
        <v>15</v>
      </c>
      <c r="E6">
        <v>20</v>
      </c>
    </row>
    <row r="7" spans="1:5">
      <c r="A7" s="8">
        <v>10</v>
      </c>
      <c r="B7" s="9" t="s">
        <v>18</v>
      </c>
      <c r="C7" s="10">
        <v>37</v>
      </c>
      <c r="D7" s="10">
        <v>20</v>
      </c>
      <c r="E7" s="10">
        <v>36</v>
      </c>
    </row>
    <row r="8" spans="1:5">
      <c r="A8" s="10">
        <v>6</v>
      </c>
      <c r="B8" s="10" t="s">
        <v>22</v>
      </c>
      <c r="C8">
        <v>94</v>
      </c>
      <c r="D8">
        <v>101</v>
      </c>
      <c r="E8">
        <v>103</v>
      </c>
    </row>
    <row r="9" spans="1:5">
      <c r="A9" s="10">
        <v>7</v>
      </c>
      <c r="B9" s="10" t="s">
        <v>23</v>
      </c>
      <c r="C9">
        <v>250</v>
      </c>
      <c r="D9">
        <v>135</v>
      </c>
      <c r="E9">
        <v>158</v>
      </c>
    </row>
    <row r="10" spans="1:5">
      <c r="A10" s="10">
        <v>11</v>
      </c>
      <c r="B10" s="10" t="s">
        <v>24</v>
      </c>
      <c r="C10">
        <v>12</v>
      </c>
      <c r="D10">
        <v>14</v>
      </c>
      <c r="E10">
        <v>20</v>
      </c>
    </row>
    <row r="11" spans="1:5">
      <c r="A11" s="10">
        <v>12</v>
      </c>
      <c r="B11" s="10" t="s">
        <v>25</v>
      </c>
      <c r="C11">
        <v>24</v>
      </c>
      <c r="D11">
        <v>21</v>
      </c>
      <c r="E11">
        <v>28</v>
      </c>
    </row>
    <row r="12" spans="1:5">
      <c r="A12" s="10">
        <v>13</v>
      </c>
      <c r="B12" s="10" t="s">
        <v>26</v>
      </c>
      <c r="C12">
        <v>54</v>
      </c>
      <c r="D12">
        <v>36</v>
      </c>
      <c r="E12">
        <v>61</v>
      </c>
    </row>
    <row r="13" spans="1:5">
      <c r="A13" s="10">
        <v>14</v>
      </c>
      <c r="B13" s="10" t="s">
        <v>27</v>
      </c>
      <c r="C13">
        <v>1</v>
      </c>
      <c r="D13">
        <v>1</v>
      </c>
      <c r="E13">
        <v>1</v>
      </c>
    </row>
    <row r="14" spans="1:5">
      <c r="A14" s="10">
        <v>15</v>
      </c>
      <c r="B14" s="10" t="s">
        <v>28</v>
      </c>
      <c r="C14">
        <v>4</v>
      </c>
      <c r="D14">
        <v>6</v>
      </c>
      <c r="E14">
        <v>7</v>
      </c>
    </row>
    <row r="15" spans="1:5">
      <c r="A15" s="10">
        <v>16</v>
      </c>
      <c r="B15" s="10" t="s">
        <v>29</v>
      </c>
      <c r="C15">
        <v>21</v>
      </c>
      <c r="D15">
        <v>16</v>
      </c>
      <c r="E15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result</vt:lpstr>
      <vt:lpstr>comparison</vt:lpstr>
      <vt:lpstr>nsga3</vt:lpstr>
      <vt:lpstr>nsga2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2025-03-25T14:23:48Z</dcterms:created>
  <dcterms:modified xsi:type="dcterms:W3CDTF">2025-04-22T08:41:44Z</dcterms:modified>
</cp:coreProperties>
</file>